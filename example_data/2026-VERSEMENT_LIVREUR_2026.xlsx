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NVI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<sst xmlns="http://schemas.openxmlformats.org/spreadsheetml/2006/main" count="50" uniqueCount="33">
  <si>
    <t xml:space="preserve">DATE</t>
  </si>
  <si>
    <t xml:space="preserve">LIVREUR</t>
  </si>
  <si>
    <t xml:space="preserve">T. COMMANDE</t>
  </si>
  <si>
    <t xml:space="preserve">T.LOGICIEL</t>
  </si>
  <si>
    <t xml:space="preserve">VERSEMENT</t>
  </si>
  <si>
    <t xml:space="preserve">CHARGE</t>
  </si>
  <si>
    <t xml:space="preserve">DIFF</t>
  </si>
  <si>
    <t xml:space="preserve">OBSERVATION</t>
  </si>
  <si>
    <t xml:space="preserve">LV – 02</t>
  </si>
  <si>
    <t xml:space="preserve">• 600000 - 161036 = 438964</t>
  </si>
  <si>
    <t xml:space="preserve">LV – 01</t>
  </si>
  <si>
    <t xml:space="preserve">• -500 Gasoil</t>
  </si>
  <si>
    <t xml:space="preserve">MM</t>
  </si>
  <si>
    <t xml:space="preserve">• 1800 Contrôle Technique</t>
  </si>
  <si>
    <t xml:space="preserve">LV-03</t>
  </si>
  <si>
    <t xml:space="preserve">CREDIT</t>
  </si>
  <si>
    <t xml:space="preserve">• 12420 HADJOUTI (Toufik)
• 16515 Wahab Gouraya (Reda)</t>
  </si>
  <si>
    <t xml:space="preserve">VERS. CREDIT</t>
  </si>
  <si>
    <t xml:space="preserve">• 8265 AG Mekaoui Ali (Reda)</t>
  </si>
  <si>
    <t xml:space="preserve">ACCOMPTE</t>
  </si>
  <si>
    <t xml:space="preserve">N.B</t>
  </si>
  <si>
    <t xml:space="preserve">• 400 Vente au Dépos</t>
  </si>
  <si>
    <t xml:space="preserve">TOTAL</t>
  </si>
  <si>
    <t xml:space="preserve">• 438964 - 219037 = 219927</t>
  </si>
  <si>
    <t xml:space="preserve">• 4080 Retour 4 x 10 L
• 500 Gasoil</t>
  </si>
  <si>
    <t xml:space="preserve">• 1000 Gasoil
• 300 Glaciol</t>
  </si>
  <si>
    <t xml:space="preserve">LV – 03</t>
  </si>
  <si>
    <t xml:space="preserve">• 3000 Farouk Kares (Amine)
• 15000 La famille Policlinique</t>
  </si>
  <si>
    <t xml:space="preserve">• 28170 Non Chargé
• 240 Amine</t>
  </si>
  <si>
    <t xml:space="preserve">• 5310 retour 
  • 2 x 4,5 Lavande, 
  • 1 x 4,5 Bleu non chargé</t>
  </si>
  <si>
    <t xml:space="preserve">• 1000 Gasoil
• 250 Glaciol
• 1770: 1 x 4,5 Non chargé</t>
  </si>
  <si>
    <t xml:space="preserve">• 10000 Wahab Gouraya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</si>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</sst>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dd\ dd\-mm"/>
    <numFmt numFmtId="166" formatCode="_-* #,##0.00&quot; €&quot;_-;\-* #,##0.00&quot; €&quot;_-;_-* \-??&quot; €&quot;_-;_-@_-"/>
    <numFmt numFmtId="167" formatCode="#,##0.00\ _€"/>
    <numFmt numFmtId="168" formatCode="#,##0.00_);\(#,##0.0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0"/>
      <name val="Monaco"/>
      <family val="2"/>
      <charset val="1"/>
    </font>
    <font>
      <sz val="12"/>
      <color theme="1"/>
      <name val="Monaco"/>
      <family val="2"/>
      <charset val="1"/>
    </font>
    <font>
      <b val="true"/>
      <sz val="12"/>
      <color theme="1"/>
      <name val="Monaco"/>
      <family val="2"/>
      <charset val="1"/>
    </font>
    <font>
      <sz val="12"/>
      <color theme="1"/>
      <name val="Monaco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theme="0"/>
        <bgColor rgb="FFFFFFCC"/>
      </patternFill>
    </fill>
    <fill>
      <patternFill patternType="solid">
        <fgColor rgb="FFFF5050"/>
        <bgColor rgb="FFFF8080"/>
      </patternFill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theme="1"/>
      </left>
      <right/>
      <top/>
      <bottom/>
      <diagonal/>
    </border>
    <border diagonalUp="false" diagonalDown="false">
      <left/>
      <right style="thin">
        <color theme="1"/>
      </right>
      <top/>
      <bottom/>
      <diagonal/>
    </border>
    <border diagonalUp="false" diagonalDown="false">
      <left style="thin">
        <color theme="1"/>
      </left>
      <right/>
      <top style="thin">
        <color theme="1"/>
      </top>
      <bottom/>
      <diagonal/>
    </border>
    <border diagonalUp="false" diagonalDown="false">
      <left style="thin">
        <color theme="1"/>
      </left>
      <right style="thin">
        <color theme="1"/>
      </right>
      <top style="thin">
        <color theme="1"/>
      </top>
      <bottom/>
      <diagonal/>
    </border>
    <border diagonalUp="false" diagonalDown="false">
      <left style="thick">
        <color rgb="FFFF0000"/>
      </left>
      <right style="medium">
        <color rgb="FFFF0000"/>
      </right>
      <top style="thick">
        <color rgb="FFFF0000"/>
      </top>
      <bottom style="thick">
        <color rgb="FFFF0000"/>
      </bottom>
      <diagonal/>
    </border>
    <border diagonalUp="false" diagonalDown="false"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 diagonalUp="false" diagonalDown="false"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 diagonalUp="false" diagonalDown="false">
      <left style="thin">
        <color theme="1"/>
      </left>
      <right style="thin">
        <color theme="1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3" borderId="3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5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3" borderId="3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3" borderId="3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5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4" borderId="3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4" borderId="3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4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5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5" borderId="3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5" borderId="3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4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6" fontId="5" fillId="3" borderId="3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3" borderId="4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6" borderId="7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3" borderId="1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3" borderId="1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8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6" fillId="6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505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505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au15" displayName="Tableau15" ref="A1:H29" headerRowCount="1" totalsRowCount="1" totalsRowShown="1">
  <autoFilter ref="A1:H29"/>
  <tableColumns count="8">
    <tableColumn id="1" name="DATE"/>
    <tableColumn id="2" name="LIVREUR"/>
    <tableColumn id="3" name="T. COMMANDE"/>
    <tableColumn id="4" name="T.LOGICIEL"/>
    <tableColumn id="5" name="VERSEMENT" totalsRowFunction="sum"/>
    <tableColumn id="6" name="CHARGE" totalsRowFunction="sum"/>
    <tableColumn id="7" name="DIFF" totalsRowFunction="sum"/>
    <tableColumn id="8" name="OBSERVATION"/>
  </tableColumns>
</table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G10" colorId="64" zoomScale="100" zoomScaleNormal="100" zoomScalePageLayoutView="100" workbookViewId="0">
      <selection pane="topLeft" activeCell="H7" activeCellId="0" sqref="H7"/>
    </sheetView>
  </sheetViews>
  <sheetFormatPr defaultColWidth="11.4453125" defaultRowHeight="14.25" zeroHeight="false" outlineLevelRow="0" outlineLevelCol="0"/>
  <cols>
    <col collapsed="false" customWidth="true" hidden="false" outlineLevel="0" max="1" min="1" style="1" width="22.34"/>
    <col collapsed="false" customWidth="true" hidden="false" outlineLevel="0" max="2" min="2" style="1" width="22.56"/>
    <col collapsed="false" customWidth="true" hidden="false" outlineLevel="0" max="3" min="3" style="1" width="18.67"/>
    <col collapsed="false" customWidth="true" hidden="false" outlineLevel="0" max="4" min="4" style="1" width="20.11"/>
    <col collapsed="false" customWidth="true" hidden="false" outlineLevel="0" max="5" min="5" style="1" width="22.89"/>
    <col collapsed="false" customWidth="true" hidden="false" outlineLevel="0" max="7" min="6" style="1" width="19.89"/>
    <col collapsed="false" customWidth="true" hidden="false" outlineLevel="0" max="8" min="8" style="1" width="51.86"/>
    <col collapsed="false" customWidth="true" hidden="false" outlineLevel="0" max="9" min="9" style="1" width="16.89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customFormat="false" ht="16.4" hidden="false" customHeight="false" outlineLevel="0" collapsed="false">
      <c r="A2" s="5" t="n">
        <v>46023</v>
      </c>
      <c r="B2" s="6" t="s">
        <v>8</v>
      </c>
      <c r="C2" s="7"/>
      <c r="D2" s="8" t="n">
        <v>161036</v>
      </c>
      <c r="E2" s="8" t="n">
        <v>161036</v>
      </c>
      <c r="F2" s="8"/>
      <c r="G2" s="8" t="n">
        <f aca="false">Tableau15[[#This Row],[CHARGE]]+Tableau15[[#This Row],[VERSEMENT]]-Tableau15[[#This Row],[T.LOGICIEL]]</f>
        <v>0</v>
      </c>
      <c r="H2" s="9" t="s">
        <v>9</v>
      </c>
    </row>
    <row r="3" customFormat="false" ht="16.4" hidden="false" customHeight="false" outlineLevel="0" collapsed="false">
      <c r="A3" s="5" t="n">
        <v>46023</v>
      </c>
      <c r="B3" s="6" t="s">
        <v>10</v>
      </c>
      <c r="C3" s="7" t="n">
        <v>151165</v>
      </c>
      <c r="D3" s="8" t="n">
        <v>151165</v>
      </c>
      <c r="E3" s="8" t="n">
        <f aca="false">151165-500</f>
        <v>150665</v>
      </c>
      <c r="F3" s="8" t="n">
        <v>500</v>
      </c>
      <c r="G3" s="8" t="n">
        <f aca="false">Tableau15[[#This Row],[CHARGE]]+Tableau15[[#This Row],[VERSEMENT]]-Tableau15[[#This Row],[T.LOGICIEL]]</f>
        <v>0</v>
      </c>
      <c r="H3" s="9" t="s">
        <v>11</v>
      </c>
    </row>
    <row r="4" customFormat="false" ht="16.4" hidden="false" customHeight="false" outlineLevel="0" collapsed="false">
      <c r="A4" s="5" t="n">
        <v>46023</v>
      </c>
      <c r="B4" s="6" t="s">
        <v>12</v>
      </c>
      <c r="C4" s="7" t="n">
        <v>300940</v>
      </c>
      <c r="D4" s="8" t="n">
        <v>300940</v>
      </c>
      <c r="E4" s="8" t="n">
        <f aca="false">286710+12420</f>
        <v>299130</v>
      </c>
      <c r="F4" s="8" t="n">
        <v>1800</v>
      </c>
      <c r="G4" s="8" t="n">
        <f aca="false">Tableau15[[#This Row],[CHARGE]]+Tableau15[[#This Row],[VERSEMENT]]-Tableau15[[#This Row],[T.LOGICIEL]]</f>
        <v>-10</v>
      </c>
      <c r="H4" s="9" t="s">
        <v>13</v>
      </c>
    </row>
    <row r="5" customFormat="false" ht="15" hidden="false" customHeight="false" outlineLevel="0" collapsed="false">
      <c r="A5" s="5" t="n">
        <v>46023</v>
      </c>
      <c r="B5" s="6" t="s">
        <v>14</v>
      </c>
      <c r="C5" s="7" t="n">
        <v>314487</v>
      </c>
      <c r="D5" s="8" t="n">
        <f aca="false">297972+16515</f>
        <v>314487</v>
      </c>
      <c r="E5" s="8" t="n">
        <f aca="false">297840+16515</f>
        <v>314355</v>
      </c>
      <c r="F5" s="8"/>
      <c r="G5" s="8" t="n">
        <f aca="false">Tableau15[[#This Row],[CHARGE]]+Tableau15[[#This Row],[VERSEMENT]]-Tableau15[[#This Row],[T.LOGICIEL]]</f>
        <v>-132</v>
      </c>
      <c r="H5" s="9"/>
    </row>
    <row r="6" customFormat="false" ht="30.75" hidden="false" customHeight="false" outlineLevel="0" collapsed="false">
      <c r="A6" s="5" t="n">
        <v>46023</v>
      </c>
      <c r="B6" s="10" t="s">
        <v>15</v>
      </c>
      <c r="C6" s="11"/>
      <c r="D6" s="12"/>
      <c r="E6" s="12" t="n">
        <f aca="false">-(12420+16515)</f>
        <v>-28935</v>
      </c>
      <c r="F6" s="12"/>
      <c r="G6" s="12"/>
      <c r="H6" s="13" t="s">
        <v>16</v>
      </c>
    </row>
    <row r="7" customFormat="false" ht="16.4" hidden="false" customHeight="false" outlineLevel="0" collapsed="false">
      <c r="A7" s="5" t="n">
        <v>46023</v>
      </c>
      <c r="B7" s="14" t="s">
        <v>17</v>
      </c>
      <c r="C7" s="15"/>
      <c r="D7" s="16"/>
      <c r="E7" s="16" t="n">
        <f aca="false">8265</f>
        <v>8265</v>
      </c>
      <c r="F7" s="16"/>
      <c r="G7" s="16"/>
      <c r="H7" s="17" t="s">
        <v>18</v>
      </c>
    </row>
    <row r="8" customFormat="false" ht="15" hidden="false" customHeight="false" outlineLevel="0" collapsed="false">
      <c r="A8" s="5" t="n">
        <v>46023</v>
      </c>
      <c r="B8" s="6" t="s">
        <v>19</v>
      </c>
      <c r="C8" s="18"/>
      <c r="D8" s="8"/>
      <c r="E8" s="8" t="n">
        <v>0</v>
      </c>
      <c r="F8" s="8"/>
      <c r="G8" s="8"/>
      <c r="H8" s="9"/>
    </row>
    <row r="9" customFormat="false" ht="15.75" hidden="false" customHeight="false" outlineLevel="0" collapsed="false">
      <c r="A9" s="19" t="n">
        <v>46023</v>
      </c>
      <c r="B9" s="20" t="s">
        <v>20</v>
      </c>
      <c r="C9" s="18"/>
      <c r="D9" s="8"/>
      <c r="E9" s="8" t="n">
        <f aca="false">400</f>
        <v>400</v>
      </c>
      <c r="F9" s="8"/>
      <c r="G9" s="8"/>
      <c r="H9" s="9" t="s">
        <v>21</v>
      </c>
    </row>
    <row r="10" customFormat="false" ht="15" hidden="false" customHeight="false" outlineLevel="0" collapsed="false">
      <c r="A10" s="21"/>
      <c r="B10" s="22"/>
      <c r="C10" s="23"/>
      <c r="D10" s="23" t="s">
        <v>22</v>
      </c>
      <c r="E10" s="23" t="n">
        <f aca="false">SUBTOTAL(9,E2:E9)</f>
        <v>904916</v>
      </c>
      <c r="F10" s="23" t="n">
        <f aca="false">SUBTOTAL(9,F2:F9)</f>
        <v>2300</v>
      </c>
      <c r="G10" s="23" t="n">
        <f aca="false">SUBTOTAL(9,G2:G9)</f>
        <v>-142</v>
      </c>
      <c r="H10" s="24"/>
    </row>
    <row r="11" customFormat="false" ht="15.75" hidden="false" customHeight="false" outlineLevel="0" collapsed="false">
      <c r="A11" s="25" t="n">
        <v>46025</v>
      </c>
      <c r="B11" s="26" t="s">
        <v>8</v>
      </c>
      <c r="C11" s="27"/>
      <c r="D11" s="28" t="n">
        <v>219037</v>
      </c>
      <c r="E11" s="28" t="n">
        <v>219037</v>
      </c>
      <c r="F11" s="28"/>
      <c r="G11" s="28" t="n">
        <f aca="false">Tableau15[[#This Row],[CHARGE]]+Tableau15[[#This Row],[VERSEMENT]]-Tableau15[[#This Row],[T.LOGICIEL]]</f>
        <v>0</v>
      </c>
      <c r="H11" s="29" t="s">
        <v>23</v>
      </c>
    </row>
    <row r="12" customFormat="false" ht="39.75" hidden="false" customHeight="true" outlineLevel="0" collapsed="false">
      <c r="A12" s="5" t="n">
        <v>46025</v>
      </c>
      <c r="B12" s="6" t="s">
        <v>10</v>
      </c>
      <c r="C12" s="7" t="n">
        <v>149100</v>
      </c>
      <c r="D12" s="8" t="n">
        <v>149100</v>
      </c>
      <c r="E12" s="8" t="n">
        <f aca="false">149100-4080-500-15</f>
        <v>144505</v>
      </c>
      <c r="F12" s="8" t="n">
        <v>500</v>
      </c>
      <c r="G12" s="8" t="n">
        <f aca="false">Tableau15[[#This Row],[CHARGE]]+Tableau15[[#This Row],[VERSEMENT]]-Tableau15[[#This Row],[T.LOGICIEL]]</f>
        <v>-4095</v>
      </c>
      <c r="H12" s="9" t="s">
        <v>24</v>
      </c>
    </row>
    <row r="13" customFormat="false" ht="38.25" hidden="false" customHeight="true" outlineLevel="0" collapsed="false">
      <c r="A13" s="5" t="n">
        <v>46025</v>
      </c>
      <c r="B13" s="6" t="s">
        <v>12</v>
      </c>
      <c r="C13" s="7" t="n">
        <v>148375</v>
      </c>
      <c r="D13" s="8" t="n">
        <f aca="false">148375</f>
        <v>148375</v>
      </c>
      <c r="E13" s="8" t="n">
        <f aca="false">148375-1300-55</f>
        <v>147020</v>
      </c>
      <c r="F13" s="8" t="n">
        <f aca="false">1000+300</f>
        <v>1300</v>
      </c>
      <c r="G13" s="8" t="n">
        <f aca="false">Tableau15[[#This Row],[CHARGE]]+Tableau15[[#This Row],[VERSEMENT]]-Tableau15[[#This Row],[T.LOGICIEL]]</f>
        <v>-55</v>
      </c>
      <c r="H13" s="9" t="s">
        <v>25</v>
      </c>
    </row>
    <row r="14" customFormat="false" ht="15" hidden="false" customHeight="false" outlineLevel="0" collapsed="false">
      <c r="A14" s="5" t="n">
        <v>46025</v>
      </c>
      <c r="B14" s="6" t="s">
        <v>26</v>
      </c>
      <c r="C14" s="7" t="n">
        <f aca="false">127653+85835</f>
        <v>213488</v>
      </c>
      <c r="D14" s="8" t="n">
        <v>213488</v>
      </c>
      <c r="E14" s="8" t="n">
        <f aca="false">207465+5000</f>
        <v>212465</v>
      </c>
      <c r="F14" s="8" t="n">
        <v>1000</v>
      </c>
      <c r="G14" s="8" t="n">
        <f aca="false">Tableau15[[#This Row],[CHARGE]]+Tableau15[[#This Row],[VERSEMENT]]-Tableau15[[#This Row],[T.LOGICIEL]]</f>
        <v>-23</v>
      </c>
      <c r="H14" s="9"/>
    </row>
    <row r="15" customFormat="false" ht="15" hidden="false" customHeight="false" outlineLevel="0" collapsed="false">
      <c r="A15" s="5" t="n">
        <v>46025</v>
      </c>
      <c r="B15" s="6" t="s">
        <v>15</v>
      </c>
      <c r="C15" s="18"/>
      <c r="D15" s="8"/>
      <c r="E15" s="8"/>
      <c r="F15" s="8"/>
      <c r="G15" s="8"/>
      <c r="H15" s="9"/>
    </row>
    <row r="16" customFormat="false" ht="30.75" hidden="false" customHeight="false" outlineLevel="0" collapsed="false">
      <c r="A16" s="5" t="n">
        <v>46025</v>
      </c>
      <c r="B16" s="14" t="s">
        <v>17</v>
      </c>
      <c r="C16" s="15"/>
      <c r="D16" s="16"/>
      <c r="E16" s="16" t="n">
        <f aca="false">3000+10000+5000</f>
        <v>18000</v>
      </c>
      <c r="F16" s="16"/>
      <c r="G16" s="16"/>
      <c r="H16" s="17" t="s">
        <v>27</v>
      </c>
    </row>
    <row r="17" customFormat="false" ht="15" hidden="false" customHeight="false" outlineLevel="0" collapsed="false">
      <c r="A17" s="5" t="n">
        <v>46025</v>
      </c>
      <c r="B17" s="6" t="s">
        <v>19</v>
      </c>
      <c r="C17" s="18"/>
      <c r="D17" s="8"/>
      <c r="E17" s="8" t="n">
        <v>0</v>
      </c>
      <c r="F17" s="8"/>
      <c r="G17" s="8"/>
      <c r="H17" s="9"/>
    </row>
    <row r="18" customFormat="false" ht="15" hidden="false" customHeight="false" outlineLevel="0" collapsed="false">
      <c r="A18" s="5" t="n">
        <v>46025</v>
      </c>
      <c r="B18" s="6" t="s">
        <v>20</v>
      </c>
      <c r="C18" s="18"/>
      <c r="D18" s="8"/>
      <c r="E18" s="8"/>
      <c r="F18" s="8"/>
      <c r="G18" s="8"/>
      <c r="H18" s="9"/>
    </row>
    <row r="19" customFormat="false" ht="15" hidden="false" customHeight="false" outlineLevel="0" collapsed="false">
      <c r="A19" s="30"/>
      <c r="B19" s="31"/>
      <c r="C19" s="23"/>
      <c r="D19" s="23" t="s">
        <v>22</v>
      </c>
      <c r="E19" s="23" t="n">
        <f aca="false">SUBTOTAL(9,E11:E18)</f>
        <v>741027</v>
      </c>
      <c r="F19" s="23" t="n">
        <f aca="false">SUBTOTAL(9,F11:F18)</f>
        <v>2800</v>
      </c>
      <c r="G19" s="23" t="n">
        <f aca="false">SUBTOTAL(9,G11:G18)</f>
        <v>-4173</v>
      </c>
      <c r="H19" s="24"/>
    </row>
    <row r="20" customFormat="false" ht="15" hidden="false" customHeight="false" outlineLevel="0" collapsed="false">
      <c r="A20" s="25" t="n">
        <v>46026</v>
      </c>
      <c r="B20" s="26" t="s">
        <v>8</v>
      </c>
      <c r="C20" s="27"/>
      <c r="D20" s="28" t="n">
        <v>0</v>
      </c>
      <c r="E20" s="28" t="n">
        <v>0</v>
      </c>
      <c r="F20" s="28"/>
      <c r="G20" s="28" t="n">
        <f aca="false">Tableau15[[#This Row],[CHARGE]]+Tableau15[[#This Row],[VERSEMENT]]-Tableau15[[#This Row],[T.LOGICIEL]]</f>
        <v>0</v>
      </c>
      <c r="H20" s="29"/>
    </row>
    <row r="21" customFormat="false" ht="30.75" hidden="false" customHeight="false" outlineLevel="0" collapsed="false">
      <c r="A21" s="5" t="n">
        <v>46026</v>
      </c>
      <c r="B21" s="6" t="s">
        <v>10</v>
      </c>
      <c r="C21" s="7" t="n">
        <v>175491</v>
      </c>
      <c r="D21" s="8" t="n">
        <f aca="false">147320</f>
        <v>147320</v>
      </c>
      <c r="E21" s="8" t="n">
        <f aca="false">147080</f>
        <v>147080</v>
      </c>
      <c r="F21" s="8"/>
      <c r="G21" s="8" t="n">
        <f aca="false">Tableau15[[#This Row],[CHARGE]]+Tableau15[[#This Row],[VERSEMENT]]-Tableau15[[#This Row],[T.LOGICIEL]]</f>
        <v>-240</v>
      </c>
      <c r="H21" s="9" t="s">
        <v>28</v>
      </c>
    </row>
    <row r="22" customFormat="false" ht="46.25" hidden="false" customHeight="false" outlineLevel="0" collapsed="false">
      <c r="A22" s="5" t="n">
        <v>46026</v>
      </c>
      <c r="B22" s="6" t="s">
        <v>12</v>
      </c>
      <c r="C22" s="7" t="n">
        <v>63275</v>
      </c>
      <c r="D22" s="8" t="n">
        <v>57965</v>
      </c>
      <c r="E22" s="8" t="n">
        <f aca="false">57955</f>
        <v>57955</v>
      </c>
      <c r="F22" s="8"/>
      <c r="G22" s="8" t="n">
        <f aca="false">Tableau15[[#This Row],[CHARGE]]+Tableau15[[#This Row],[VERSEMENT]]-Tableau15[[#This Row],[T.LOGICIEL]]</f>
        <v>-10</v>
      </c>
      <c r="H22" s="9" t="s">
        <v>29</v>
      </c>
    </row>
    <row r="23" customFormat="false" ht="46.25" hidden="false" customHeight="false" outlineLevel="0" collapsed="false">
      <c r="A23" s="5" t="n">
        <v>46026</v>
      </c>
      <c r="B23" s="6" t="s">
        <v>26</v>
      </c>
      <c r="C23" s="7" t="n">
        <f aca="false">155180-60</f>
        <v>155120</v>
      </c>
      <c r="D23" s="8" t="n">
        <v>153350</v>
      </c>
      <c r="E23" s="8" t="n">
        <f aca="false">153350-1250</f>
        <v>152100</v>
      </c>
      <c r="F23" s="8" t="n">
        <f aca="false">1000+250</f>
        <v>1250</v>
      </c>
      <c r="G23" s="8" t="n">
        <f aca="false">Tableau15[[#This Row],[CHARGE]]+Tableau15[[#This Row],[VERSEMENT]]-Tableau15[[#This Row],[T.LOGICIEL]]</f>
        <v>0</v>
      </c>
      <c r="H23" s="9" t="s">
        <v>30</v>
      </c>
    </row>
    <row r="24" customFormat="false" ht="15" hidden="false" customHeight="false" outlineLevel="0" collapsed="false">
      <c r="A24" s="5" t="n">
        <v>46026</v>
      </c>
      <c r="B24" s="6" t="s">
        <v>15</v>
      </c>
      <c r="C24" s="18"/>
      <c r="D24" s="8"/>
      <c r="E24" s="8" t="n">
        <v>0</v>
      </c>
      <c r="F24" s="8"/>
      <c r="G24" s="8"/>
      <c r="H24" s="9"/>
    </row>
    <row r="25" customFormat="false" ht="16.4" hidden="false" customHeight="false" outlineLevel="0" collapsed="false">
      <c r="A25" s="5" t="n">
        <v>46026</v>
      </c>
      <c r="B25" s="14" t="s">
        <v>17</v>
      </c>
      <c r="C25" s="15"/>
      <c r="D25" s="16"/>
      <c r="E25" s="16" t="n">
        <v>10000</v>
      </c>
      <c r="F25" s="16"/>
      <c r="G25" s="16"/>
      <c r="H25" s="17" t="s">
        <v>31</v>
      </c>
    </row>
    <row r="26" customFormat="false" ht="15" hidden="false" customHeight="false" outlineLevel="0" collapsed="false">
      <c r="A26" s="5" t="n">
        <v>46026</v>
      </c>
      <c r="B26" s="6" t="s">
        <v>19</v>
      </c>
      <c r="C26" s="18"/>
      <c r="D26" s="8"/>
      <c r="E26" s="8" t="n">
        <v>0</v>
      </c>
      <c r="F26" s="8"/>
      <c r="G26" s="8"/>
      <c r="H26" s="9"/>
    </row>
    <row r="27" customFormat="false" ht="15" hidden="false" customHeight="false" outlineLevel="0" collapsed="false">
      <c r="A27" s="5" t="n">
        <v>46026</v>
      </c>
      <c r="B27" s="32" t="s">
        <v>20</v>
      </c>
      <c r="C27" s="18"/>
      <c r="D27" s="8"/>
      <c r="E27" s="8"/>
      <c r="F27" s="8"/>
      <c r="G27" s="8"/>
      <c r="H27" s="9"/>
    </row>
    <row r="28" customFormat="false" ht="15" hidden="false" customHeight="false" outlineLevel="0" collapsed="false">
      <c r="A28" s="30"/>
      <c r="B28" s="31"/>
      <c r="C28" s="23"/>
      <c r="D28" s="23" t="s">
        <v>22</v>
      </c>
      <c r="E28" s="23" t="n">
        <f aca="false">SUBTOTAL(9,E20:E27)</f>
        <v>367135</v>
      </c>
      <c r="F28" s="23" t="n">
        <f aca="false">SUBTOTAL(9,F20:F27)</f>
        <v>1250</v>
      </c>
      <c r="G28" s="23" t="n">
        <f aca="false">SUBTOTAL(9,G20:G27)</f>
        <v>-250</v>
      </c>
      <c r="H28" s="24"/>
    </row>
    <row r="29" customFormat="false" ht="15" hidden="false" customHeight="false" outlineLevel="0" collapsed="false">
      <c r="A29" s="33" t="s">
        <v>32</v>
      </c>
      <c r="B29" s="34"/>
      <c r="D29" s="34"/>
      <c r="E29" s="35" t="n">
        <f aca="false">SUBTOTAL(109,Tableau15[VERSEMENT])</f>
        <v>2013078</v>
      </c>
      <c r="F29" s="35" t="n">
        <f aca="false">SUBTOTAL(109,Tableau15[CHARGE])</f>
        <v>6350</v>
      </c>
      <c r="G29" s="35" t="n">
        <f aca="false">SUBTOTAL(109,Tableau15[DIFF])</f>
        <v>-4565</v>
      </c>
      <c r="H29" s="36"/>
    </row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2025-12-31T09:28:00Z</dcterms:created>
  <dc:creator>ADMIN</dc:creator>
  <dc:description/>
  <dc:language>en-US</dc:language>
  <cp:lastModifiedBy/>
  <dcterms:modified xsi:type="dcterms:W3CDTF">2026-02-02T21:27:28Z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