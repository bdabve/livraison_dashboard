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VEMBRE" sheetId="1" state="visible" r:id="rId3"/>
    <sheet name="DECEMBR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<sst xmlns="http://schemas.openxmlformats.org/spreadsheetml/2006/main" count="51" uniqueCount="31">
  <si>
    <t xml:space="preserve">DATE</t>
  </si>
  <si>
    <t xml:space="preserve">LIVREUR</t>
  </si>
  <si>
    <t xml:space="preserve">T. COMMANDE</t>
  </si>
  <si>
    <t xml:space="preserve">T.LOGICIEL</t>
  </si>
  <si>
    <t xml:space="preserve">VERSEMENT</t>
  </si>
  <si>
    <t xml:space="preserve">CHARGE</t>
  </si>
  <si>
    <t xml:space="preserve">DIFF</t>
  </si>
  <si>
    <t xml:space="preserve">OBSERVATION</t>
  </si>
  <si>
    <t xml:space="preserve">LV-02</t>
  </si>
  <si>
    <t xml:space="preserve">• versement 250000</t>
  </si>
  <si>
    <t xml:space="preserve">MM</t>
  </si>
  <si>
    <t xml:space="preserve">• 2000 DA TOUFIK
• 1085 retour</t>
  </si>
  <si>
    <t xml:space="preserve">LV-01</t>
  </si>
  <si>
    <t xml:space="preserve">• 600  gasoil
• 3000 da rayan
• 7070 retour 1 ferme</t>
  </si>
  <si>
    <t xml:space="preserve">LV-03</t>
  </si>
  <si>
    <t xml:space="preserve">• 225 semain Cherchell modification</t>
  </si>
  <si>
    <t xml:space="preserve">N.B</t>
  </si>
  <si>
    <t xml:space="preserve">• 10000 farouk kares payé</t>
  </si>
  <si>
    <t xml:space="preserve">TOTAL</t>
  </si>
  <si>
    <t xml:space="preserve">• 104275 versement, 
• Abdou 101000 , 
• WAHAB RESTE 500</t>
  </si>
  <si>
    <t xml:space="preserve">• 7015 retour 1 fermé</t>
  </si>
  <si>
    <t xml:space="preserve">• 6560 wahab gouraya
• 85 vaisselle </t>
  </si>
  <si>
    <t xml:space="preserve">• acompte
'total : E12+E13+E15+3275+E14'</t>
  </si>
  <si>
    <t xml:space="preserve">Total</t>
  </si>
  <si>
    <t xml:space="preserve">• 145 Lave-Sol
• 485 Retour</t>
  </si>
  <si>
    <t xml:space="preserve">• 20220 Retour La Famille</t>
  </si>
  <si>
    <t xml:space="preserve">• Lave-Sol x 3 = 435
• 5000 Belkas transport</t>
  </si>
  <si>
    <t xml:space="preserve">VERS. CREDIT</t>
  </si>
  <si>
    <t xml:space="preserve">• 4000 Othman Par Rahim</t>
  </si>
  <si>
    <t xml:space="preserve">ACCOMPTE</t>
  </si>
  <si>
    <t xml:space="preserve">CREDIT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</si>
</sst>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dd\ dd\-mm"/>
    <numFmt numFmtId="166" formatCode="_-* #,##0.00&quot; €&quot;_-;\-* #,##0.00&quot; €&quot;_-;_-* \-??&quot; €&quot;_-;_-@_-"/>
    <numFmt numFmtId="167" formatCode="#,##0.00\ _€"/>
    <numFmt numFmtId="168" formatCode="#,##0.00_);\(#,##0.00\)"/>
    <numFmt numFmtId="169" formatCode="_-* #,##0.00\ _€_-;\-* #,##0.00\ _€_-;_-* \-??\ _€_-;_-@_-"/>
    <numFmt numFmtId="170" formatCode="h:mm"/>
    <numFmt numFmtId="171" formatCode="#,##0.00_ ;\-#,##0.00\ "/>
    <numFmt numFmtId="172" formatCode="#,##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Monaco"/>
      <family val="2"/>
      <charset val="1"/>
    </font>
    <font>
      <b val="true"/>
      <sz val="12"/>
      <color theme="1"/>
      <name val="Monaco"/>
      <family val="2"/>
      <charset val="1"/>
    </font>
    <font>
      <sz val="12"/>
      <color theme="0"/>
      <name val="Monaco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3" tint="0.4999"/>
        <bgColor rgb="FF3366FF"/>
      </patternFill>
    </fill>
    <fill>
      <patternFill patternType="solid">
        <fgColor theme="7" tint="-0.25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0" xfId="17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9" fontId="4" fillId="0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70" fontId="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6" fontId="4" fillId="0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70" fontId="6" fillId="4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8" fontId="6" fillId="4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B77A0"/>
          <bgColor rgb="FF000000"/>
        </patternFill>
      </fill>
    </dxf>
    <dxf>
      <fill>
        <patternFill patternType="solid">
          <fgColor rgb="FF4E95D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7A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au11" displayName="Tableau11" ref="A1:H14" headerRowCount="1" totalsRowCount="1" totalsRowShown="1">
  <autoFilter ref="A1:H14"/>
  <tableColumns count="8">
    <tableColumn id="1" name="DATE"/>
    <tableColumn id="2" name="LIVREUR"/>
    <tableColumn id="3" name="T. COMMANDE"/>
    <tableColumn id="4" name="T.LOGICIEL"/>
    <tableColumn id="5" name="VERSEMENT" totalsRowFunction="sum"/>
    <tableColumn id="6" name="CHARGE" totalsRowFunction="sum"/>
    <tableColumn id="7" name="DIFF" totalsRowFunction="sum"/>
    <tableColumn id="8" name="OBSERVATION" totalsRowFunction="count"/>
  </tableColumns>
</table>
</file>

<file path=xl/tables/table2.xml><?xml version="1.0" encoding="utf-8"?>
<table xmlns="http://schemas.openxmlformats.org/spreadsheetml/2006/main" id="2" name="Tableau12" displayName="Tableau12" ref="A1:H10" headerRowCount="1" totalsRowCount="1" totalsRowShown="1">
  <autoFilter ref="A1:H10"/>
  <tableColumns count="8">
    <tableColumn id="1" name="DATE"/>
    <tableColumn id="2" name="LIVREUR"/>
    <tableColumn id="3" name="T. COMMANDE"/>
    <tableColumn id="4" name="T.LOGICIEL"/>
    <tableColumn id="5" name="VERSEMENT" totalsRowFunction="sum"/>
    <tableColumn id="6" name="CHARGE" totalsRowFunction="sum"/>
    <tableColumn id="7" name="DIFF" totalsRowFunction="sum"/>
    <tableColumn id="8" name="OBSERVATION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"/>
        <a:cs typeface=""/>
      </a:majorFont>
      <a:minorFont>
        <a:latin typeface="Aptos Narrow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3984375" defaultRowHeight="13.5" zeroHeight="false" outlineLevelRow="0" outlineLevelCol="0"/>
  <cols>
    <col collapsed="false" customWidth="true" hidden="false" outlineLevel="0" max="1" min="1" style="1" width="23.7"/>
    <col collapsed="false" customWidth="true" hidden="false" outlineLevel="0" max="2" min="2" style="0" width="15.4"/>
    <col collapsed="false" customWidth="true" hidden="false" outlineLevel="0" max="3" min="3" style="0" width="20.4"/>
    <col collapsed="false" customWidth="true" hidden="false" outlineLevel="0" max="4" min="4" style="0" width="17.09"/>
    <col collapsed="false" customWidth="true" hidden="false" outlineLevel="0" max="5" min="5" style="0" width="17.9"/>
    <col collapsed="false" customWidth="true" hidden="false" outlineLevel="0" max="6" min="6" style="0" width="19.2"/>
    <col collapsed="false" customWidth="true" hidden="false" outlineLevel="0" max="7" min="7" style="0" width="20.79"/>
    <col collapsed="false" customWidth="true" hidden="false" outlineLevel="0" max="8" min="8" style="0" width="46.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6.4" hidden="false" customHeight="false" outlineLevel="0" collapsed="false">
      <c r="A2" s="3" t="n">
        <v>45962</v>
      </c>
      <c r="B2" s="2" t="s">
        <v>8</v>
      </c>
      <c r="C2" s="4"/>
      <c r="D2" s="5" t="n">
        <v>173886</v>
      </c>
      <c r="E2" s="5" t="n">
        <f aca="false">173886</f>
        <v>173886</v>
      </c>
      <c r="F2" s="5"/>
      <c r="G2" s="5" t="n">
        <f aca="false">(Tableau11[[#This Row],[VERSEMENT]]+Tableau11[[#This Row],[CHARGE]])-Tableau11[[#This Row],[T.LOGICIEL]]</f>
        <v>0</v>
      </c>
      <c r="H2" s="6" t="s">
        <v>9</v>
      </c>
    </row>
    <row r="3" customFormat="false" ht="30.75" hidden="false" customHeight="false" outlineLevel="0" collapsed="false">
      <c r="A3" s="3" t="n">
        <v>45962</v>
      </c>
      <c r="B3" s="2" t="s">
        <v>10</v>
      </c>
      <c r="C3" s="4" t="n">
        <f aca="false">254105+1085</f>
        <v>255190</v>
      </c>
      <c r="D3" s="5" t="n">
        <v>254105</v>
      </c>
      <c r="E3" s="5" t="n">
        <v>252050</v>
      </c>
      <c r="F3" s="5"/>
      <c r="G3" s="5" t="n">
        <f aca="false">(Tableau11[[#This Row],[VERSEMENT]]+Tableau11[[#This Row],[CHARGE]])-Tableau11[[#This Row],[T.LOGICIEL]]</f>
        <v>-2055</v>
      </c>
      <c r="H3" s="6" t="s">
        <v>11</v>
      </c>
    </row>
    <row r="4" customFormat="false" ht="46.25" hidden="false" customHeight="false" outlineLevel="0" collapsed="false">
      <c r="A4" s="3" t="n">
        <v>45962</v>
      </c>
      <c r="B4" s="2" t="s">
        <v>12</v>
      </c>
      <c r="C4" s="4" t="n">
        <v>150689</v>
      </c>
      <c r="D4" s="5" t="n">
        <v>143439</v>
      </c>
      <c r="E4" s="5" t="n">
        <f aca="false">143439-3000+950-600</f>
        <v>140789</v>
      </c>
      <c r="F4" s="5" t="n">
        <v>600</v>
      </c>
      <c r="G4" s="5" t="n">
        <f aca="false">(Tableau11[[#This Row],[VERSEMENT]]+Tableau11[[#This Row],[CHARGE]])-Tableau11[[#This Row],[T.LOGICIEL]]</f>
        <v>-2050</v>
      </c>
      <c r="H4" s="6" t="s">
        <v>13</v>
      </c>
    </row>
    <row r="5" customFormat="false" ht="16.4" hidden="false" customHeight="false" outlineLevel="0" collapsed="false">
      <c r="A5" s="3" t="n">
        <v>45962</v>
      </c>
      <c r="B5" s="2" t="s">
        <v>14</v>
      </c>
      <c r="C5" s="4" t="n">
        <v>94515</v>
      </c>
      <c r="D5" s="5" t="n">
        <v>94290</v>
      </c>
      <c r="E5" s="5" t="n">
        <v>94290</v>
      </c>
      <c r="F5" s="5"/>
      <c r="G5" s="5" t="n">
        <f aca="false">(Tableau11[[#This Row],[VERSEMENT]]+Tableau11[[#This Row],[CHARGE]])-Tableau11[[#This Row],[T.LOGICIEL]]</f>
        <v>0</v>
      </c>
      <c r="H5" s="6" t="s">
        <v>15</v>
      </c>
    </row>
    <row r="6" customFormat="false" ht="16.4" hidden="false" customHeight="false" outlineLevel="0" collapsed="false">
      <c r="A6" s="3" t="n">
        <v>45962</v>
      </c>
      <c r="B6" s="2" t="s">
        <v>16</v>
      </c>
      <c r="C6" s="4"/>
      <c r="D6" s="5"/>
      <c r="E6" s="5" t="n">
        <v>10000</v>
      </c>
      <c r="F6" s="5"/>
      <c r="G6" s="5"/>
      <c r="H6" s="6" t="s">
        <v>17</v>
      </c>
    </row>
    <row r="7" customFormat="false" ht="15" hidden="false" customHeight="false" outlineLevel="0" collapsed="false">
      <c r="A7" s="7"/>
      <c r="B7" s="7"/>
      <c r="C7" s="8"/>
      <c r="D7" s="8" t="s">
        <v>18</v>
      </c>
      <c r="E7" s="8" t="n">
        <f aca="false">SUBTOTAL(9,E2:E6)</f>
        <v>671015</v>
      </c>
      <c r="F7" s="8" t="n">
        <f aca="false">SUBTOTAL(9,F2:F6)</f>
        <v>600</v>
      </c>
      <c r="G7" s="8" t="n">
        <f aca="false">SUBTOTAL(9,G2:G6)</f>
        <v>-4105</v>
      </c>
      <c r="H7" s="9"/>
    </row>
    <row r="8" customFormat="false" ht="46.25" hidden="false" customHeight="false" outlineLevel="0" collapsed="false">
      <c r="A8" s="10" t="n">
        <v>45963</v>
      </c>
      <c r="B8" s="2" t="s">
        <v>8</v>
      </c>
      <c r="C8" s="5"/>
      <c r="D8" s="5" t="n">
        <v>180893</v>
      </c>
      <c r="E8" s="5" t="n">
        <f aca="false">250000-173886+104275</f>
        <v>180389</v>
      </c>
      <c r="F8" s="5"/>
      <c r="G8" s="5" t="n">
        <f aca="false">(Tableau11[[#This Row],[VERSEMENT]]+Tableau11[[#This Row],[CHARGE]])-Tableau11[[#This Row],[T.LOGICIEL]]</f>
        <v>-504</v>
      </c>
      <c r="H8" s="6" t="s">
        <v>19</v>
      </c>
    </row>
    <row r="9" customFormat="false" ht="15" hidden="false" customHeight="false" outlineLevel="0" collapsed="false">
      <c r="A9" s="10" t="n">
        <v>45963</v>
      </c>
      <c r="B9" s="2" t="s">
        <v>10</v>
      </c>
      <c r="C9" s="5" t="n">
        <v>25620</v>
      </c>
      <c r="D9" s="5" t="n">
        <v>25620</v>
      </c>
      <c r="E9" s="5" t="n">
        <v>25620</v>
      </c>
      <c r="F9" s="5"/>
      <c r="G9" s="5" t="n">
        <f aca="false">(Tableau11[[#This Row],[VERSEMENT]]+Tableau11[[#This Row],[CHARGE]])-Tableau11[[#This Row],[T.LOGICIEL]]</f>
        <v>0</v>
      </c>
      <c r="H9" s="11"/>
    </row>
    <row r="10" customFormat="false" ht="16.4" hidden="false" customHeight="false" outlineLevel="0" collapsed="false">
      <c r="A10" s="10" t="n">
        <v>45963</v>
      </c>
      <c r="B10" s="2" t="s">
        <v>12</v>
      </c>
      <c r="C10" s="5" t="n">
        <v>169903</v>
      </c>
      <c r="D10" s="5" t="n">
        <v>162888</v>
      </c>
      <c r="E10" s="5" t="n">
        <f aca="false">162590+300</f>
        <v>162890</v>
      </c>
      <c r="F10" s="5"/>
      <c r="G10" s="5" t="n">
        <f aca="false">(Tableau11[[#This Row],[VERSEMENT]]+Tableau11[[#This Row],[CHARGE]])-Tableau11[[#This Row],[T.LOGICIEL]]</f>
        <v>2</v>
      </c>
      <c r="H10" s="12" t="s">
        <v>20</v>
      </c>
    </row>
    <row r="11" customFormat="false" ht="31.3" hidden="false" customHeight="false" outlineLevel="0" collapsed="false">
      <c r="A11" s="10" t="n">
        <v>45963</v>
      </c>
      <c r="B11" s="2" t="s">
        <v>14</v>
      </c>
      <c r="C11" s="13" t="n">
        <v>170407</v>
      </c>
      <c r="D11" s="5" t="n">
        <v>166052</v>
      </c>
      <c r="E11" s="5" t="n">
        <f aca="false">149425-1000+10000</f>
        <v>158425</v>
      </c>
      <c r="F11" s="5" t="n">
        <v>1000</v>
      </c>
      <c r="G11" s="5" t="n">
        <f aca="false">(Tableau11[[#This Row],[VERSEMENT]]+Tableau11[[#This Row],[CHARGE]])-Tableau11[[#This Row],[T.LOGICIEL]]</f>
        <v>-6627</v>
      </c>
      <c r="H11" s="12" t="s">
        <v>21</v>
      </c>
    </row>
    <row r="12" customFormat="false" ht="31.3" hidden="false" customHeight="false" outlineLevel="0" collapsed="false">
      <c r="A12" s="10" t="n">
        <v>45963</v>
      </c>
      <c r="B12" s="2" t="s">
        <v>16</v>
      </c>
      <c r="C12" s="5"/>
      <c r="D12" s="5"/>
      <c r="E12" s="5" t="n">
        <f aca="false">-(10000+5000+15000)</f>
        <v>-30000</v>
      </c>
      <c r="F12" s="5"/>
      <c r="G12" s="5"/>
      <c r="H12" s="6" t="s">
        <v>22</v>
      </c>
    </row>
    <row r="13" customFormat="false" ht="15" hidden="false" customHeight="false" outlineLevel="0" collapsed="false">
      <c r="A13" s="7"/>
      <c r="B13" s="7"/>
      <c r="C13" s="8"/>
      <c r="D13" s="8" t="s">
        <v>18</v>
      </c>
      <c r="E13" s="8" t="n">
        <f aca="false">SUBTOTAL(9,E8:E12)</f>
        <v>497324</v>
      </c>
      <c r="F13" s="8" t="n">
        <f aca="false">SUBTOTAL(9,F8:F12)</f>
        <v>1000</v>
      </c>
      <c r="G13" s="8" t="n">
        <f aca="false">SUBTOTAL(9,G8:G12)</f>
        <v>-7129</v>
      </c>
      <c r="H13" s="9"/>
    </row>
    <row r="14" customFormat="false" ht="15" hidden="false" customHeight="false" outlineLevel="0" collapsed="false">
      <c r="A14" s="14" t="s">
        <v>23</v>
      </c>
      <c r="B14" s="15"/>
      <c r="C14" s="16"/>
      <c r="D14" s="16"/>
      <c r="E14" s="16" t="n">
        <f aca="false">SUBTOTAL(109,Tableau11[VERSEMENT])</f>
        <v>1168339</v>
      </c>
      <c r="F14" s="16" t="n">
        <f aca="false">SUBTOTAL(109,Tableau11[CHARGE])</f>
        <v>1600</v>
      </c>
      <c r="G14" s="16" t="n">
        <f aca="false">SUBTOTAL(109,Tableau11[DIFF])</f>
        <v>-11234</v>
      </c>
      <c r="H14" s="14" t="n">
        <f aca="false">SUBTOTAL(103,Tableau11[OBSERVATION])</f>
        <v>9</v>
      </c>
    </row>
    <row r="15" customFormat="false" ht="13.8" hidden="false" customHeight="false" outlineLevel="0" collapsed="false">
      <c r="F15" s="17"/>
      <c r="G15" s="17"/>
      <c r="H15" s="17"/>
    </row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1.3984375" defaultRowHeight="13.5" zeroHeight="false" outlineLevelRow="0" outlineLevelCol="0"/>
  <cols>
    <col collapsed="false" customWidth="true" hidden="false" outlineLevel="0" max="1" min="1" style="0" width="22.1"/>
    <col collapsed="false" customWidth="true" hidden="false" outlineLevel="0" max="2" min="2" style="0" width="17.3"/>
    <col collapsed="false" customWidth="true" hidden="false" outlineLevel="0" max="3" min="3" style="0" width="19.4"/>
    <col collapsed="false" customWidth="true" hidden="false" outlineLevel="0" max="4" min="4" style="0" width="18.1"/>
    <col collapsed="false" customWidth="true" hidden="false" outlineLevel="0" max="5" min="5" style="0" width="17.7"/>
    <col collapsed="false" customWidth="true" hidden="false" outlineLevel="0" max="6" min="6" style="0" width="16.59"/>
    <col collapsed="false" customWidth="true" hidden="false" outlineLevel="0" max="7" min="7" style="0" width="19"/>
    <col collapsed="false" customWidth="true" hidden="false" outlineLevel="0" max="8" min="8" style="0" width="53.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7.75" hidden="false" customHeight="true" outlineLevel="0" collapsed="false">
      <c r="A2" s="10" t="n">
        <v>45992</v>
      </c>
      <c r="B2" s="2" t="s">
        <v>8</v>
      </c>
      <c r="C2" s="4"/>
      <c r="D2" s="5" t="n">
        <v>184577</v>
      </c>
      <c r="E2" s="5" t="n">
        <f aca="false">184570</f>
        <v>184570</v>
      </c>
      <c r="F2" s="5"/>
      <c r="G2" s="5" t="n">
        <f aca="false">Tableau12[[#This Row],[CHARGE]]+Tableau12[[#This Row],[VERSEMENT]]-Tableau12[[#This Row],[T.LOGICIEL]]</f>
        <v>-7</v>
      </c>
      <c r="H2" s="6"/>
    </row>
    <row r="3" customFormat="false" ht="39" hidden="false" customHeight="true" outlineLevel="0" collapsed="false">
      <c r="A3" s="10" t="n">
        <v>45992</v>
      </c>
      <c r="B3" s="2" t="s">
        <v>12</v>
      </c>
      <c r="C3" s="4" t="n">
        <f aca="false">153560-22440+2025</f>
        <v>133145</v>
      </c>
      <c r="D3" s="5" t="n">
        <v>132660</v>
      </c>
      <c r="E3" s="5" t="n">
        <f aca="false">132660-145</f>
        <v>132515</v>
      </c>
      <c r="F3" s="5"/>
      <c r="G3" s="5" t="n">
        <f aca="false">Tableau12[[#This Row],[CHARGE]]+Tableau12[[#This Row],[VERSEMENT]]-Tableau12[[#This Row],[T.LOGICIEL]]</f>
        <v>-145</v>
      </c>
      <c r="H3" s="6" t="s">
        <v>24</v>
      </c>
    </row>
    <row r="4" customFormat="false" ht="27.75" hidden="false" customHeight="true" outlineLevel="0" collapsed="false">
      <c r="A4" s="10" t="n">
        <v>45992</v>
      </c>
      <c r="B4" s="2" t="s">
        <v>10</v>
      </c>
      <c r="C4" s="4" t="n">
        <v>117307</v>
      </c>
      <c r="D4" s="5" t="n">
        <f aca="false">117307-20220</f>
        <v>97087</v>
      </c>
      <c r="E4" s="5" t="n">
        <f aca="false">72475+24615</f>
        <v>97090</v>
      </c>
      <c r="F4" s="5"/>
      <c r="G4" s="5" t="n">
        <f aca="false">Tableau12[[#This Row],[CHARGE]]+Tableau12[[#This Row],[VERSEMENT]]-Tableau12[[#This Row],[T.LOGICIEL]]</f>
        <v>3</v>
      </c>
      <c r="H4" s="6" t="s">
        <v>25</v>
      </c>
    </row>
    <row r="5" customFormat="false" ht="37.5" hidden="false" customHeight="true" outlineLevel="0" collapsed="false">
      <c r="A5" s="10" t="n">
        <v>45992</v>
      </c>
      <c r="B5" s="2" t="s">
        <v>14</v>
      </c>
      <c r="C5" s="4" t="n">
        <f aca="false">76345+121425</f>
        <v>197770</v>
      </c>
      <c r="D5" s="5" t="n">
        <f aca="false">196654</f>
        <v>196654</v>
      </c>
      <c r="E5" s="5" t="n">
        <v>191215</v>
      </c>
      <c r="F5" s="5" t="n">
        <v>5000</v>
      </c>
      <c r="G5" s="5" t="n">
        <f aca="false">Tableau12[[#This Row],[CHARGE]]+Tableau12[[#This Row],[VERSEMENT]]-Tableau12[[#This Row],[T.LOGICIEL]]</f>
        <v>-439</v>
      </c>
      <c r="H5" s="6" t="s">
        <v>26</v>
      </c>
    </row>
    <row r="6" customFormat="false" ht="27.75" hidden="false" customHeight="true" outlineLevel="0" collapsed="false">
      <c r="A6" s="18" t="n">
        <v>45992</v>
      </c>
      <c r="B6" s="19" t="s">
        <v>27</v>
      </c>
      <c r="C6" s="20"/>
      <c r="D6" s="21"/>
      <c r="E6" s="21" t="n">
        <v>4000</v>
      </c>
      <c r="F6" s="21"/>
      <c r="G6" s="21"/>
      <c r="H6" s="22" t="s">
        <v>28</v>
      </c>
    </row>
    <row r="7" customFormat="false" ht="15" hidden="false" customHeight="false" outlineLevel="0" collapsed="false">
      <c r="A7" s="10" t="n">
        <v>45992</v>
      </c>
      <c r="B7" s="2" t="s">
        <v>29</v>
      </c>
      <c r="C7" s="23"/>
      <c r="D7" s="5"/>
      <c r="E7" s="5" t="n">
        <v>0</v>
      </c>
      <c r="F7" s="5"/>
      <c r="G7" s="5"/>
      <c r="H7" s="6"/>
    </row>
    <row r="8" customFormat="false" ht="15" hidden="false" customHeight="false" outlineLevel="0" collapsed="false">
      <c r="A8" s="10" t="n">
        <v>45992</v>
      </c>
      <c r="B8" s="2" t="s">
        <v>30</v>
      </c>
      <c r="C8" s="23"/>
      <c r="D8" s="5"/>
      <c r="E8" s="5" t="n">
        <v>0</v>
      </c>
      <c r="F8" s="5"/>
      <c r="G8" s="5"/>
      <c r="H8" s="6"/>
    </row>
    <row r="9" customFormat="false" ht="15" hidden="false" customHeight="false" outlineLevel="0" collapsed="false">
      <c r="A9" s="24"/>
      <c r="B9" s="25"/>
      <c r="C9" s="8"/>
      <c r="D9" s="8" t="s">
        <v>18</v>
      </c>
      <c r="E9" s="8" t="n">
        <f aca="false">SUBTOTAL(9,E2:E8)</f>
        <v>609390</v>
      </c>
      <c r="F9" s="8" t="n">
        <f aca="false">SUBTOTAL(9,F2:F8)</f>
        <v>5000</v>
      </c>
      <c r="G9" s="8" t="n">
        <f aca="false">SUBTOTAL(9,G2:G8)</f>
        <v>-588</v>
      </c>
      <c r="H9" s="9"/>
    </row>
    <row r="10" customFormat="false" ht="15" hidden="false" customHeight="false" outlineLevel="0" collapsed="false">
      <c r="A10" s="26" t="s">
        <v>23</v>
      </c>
      <c r="B10" s="27"/>
      <c r="C10" s="28"/>
      <c r="D10" s="28"/>
      <c r="E10" s="28" t="n">
        <f aca="false">SUBTOTAL(109,Tableau12[VERSEMENT])</f>
        <v>609390</v>
      </c>
      <c r="F10" s="28" t="n">
        <f aca="false">SUBTOTAL(109,Tableau12[CHARGE])</f>
        <v>5000</v>
      </c>
      <c r="G10" s="28" t="n">
        <f aca="false">SUBTOTAL(109,Tableau12[DIFF])</f>
        <v>-588</v>
      </c>
      <c r="H10" s="29"/>
    </row>
    <row r="13" customFormat="false" ht="13.5" hidden="false" customHeight="false" outlineLevel="0" collapsed="false">
      <c r="D13" s="30"/>
    </row>
    <row r="15" customFormat="false" ht="13.5" hidden="false" customHeight="false" outlineLevel="0" collapsed="false">
      <c r="D15" s="30"/>
    </row>
    <row r="16" customFormat="false" ht="13.5" hidden="false" customHeight="false" outlineLevel="0" collapsed="false">
      <c r="E16" s="17"/>
    </row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2025-07-30T08:28:44Z</dcterms:created>
  <dc:creator>ADMIN</dc:creator>
  <dc:description/>
  <dc:language>en-US</dc:language>
  <cp:lastModifiedBy/>
  <dcterms:modified xsi:type="dcterms:W3CDTF">2026-02-02T21:32:08Z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