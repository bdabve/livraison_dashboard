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08" yWindow="-108" windowWidth="23256" windowHeight="12576" firstSheet="4" activeTab="4"/>
  </bookViews>
  <sheets>
    <sheet name="Août 2025" sheetId="1" r:id="rId1"/>
    <sheet name="SEPTEMBRE 2025" sheetId="2" r:id="rId2"/>
    <sheet name="OCTOBRE" sheetId="4" r:id="rId3"/>
    <sheet name="NOVEMBRE" sheetId="6" r:id="rId4"/>
    <sheet name="DECEMBRE" sheetId="7" r:id="rId5"/>
    <sheet name="ETAT_MENSUEL" sheetId="8" r:id="rId6"/>
    <sheet name="Abdou" sheetId="3" r:id="rId7"/>
  </sheets>
  <calcPr calcId="144525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9" i="7" l="1"/>
  <c r="E236" i="7" l="1"/>
  <c r="E238" i="7"/>
  <c r="E237" i="7"/>
  <c r="E229" i="7" l="1"/>
  <c r="E234" i="7" l="1"/>
  <c r="E218" i="7" l="1"/>
  <c r="D223" i="7"/>
  <c r="E227" i="7"/>
  <c r="E231" i="7"/>
  <c r="E226" i="7"/>
  <c r="F227" i="7"/>
  <c r="D227" i="7"/>
  <c r="E232" i="7"/>
  <c r="F226" i="7"/>
  <c r="E228" i="7"/>
  <c r="D228" i="7"/>
  <c r="E222" i="7" l="1"/>
  <c r="F218" i="7" l="1"/>
  <c r="E225" i="7" l="1"/>
  <c r="E217" i="7" l="1"/>
  <c r="E220" i="7"/>
  <c r="D217" i="7"/>
  <c r="E219" i="7"/>
  <c r="E216" i="7"/>
  <c r="E208" i="7" l="1"/>
  <c r="E212" i="7"/>
  <c r="E209" i="7"/>
  <c r="F200" i="7" l="1"/>
  <c r="E214" i="7"/>
  <c r="E207" i="7"/>
  <c r="C209" i="7"/>
  <c r="E200" i="7" l="1"/>
  <c r="E203" i="7"/>
  <c r="E199" i="7"/>
  <c r="E204" i="7"/>
  <c r="D199" i="7"/>
  <c r="E192" i="7" l="1"/>
  <c r="C191" i="7"/>
  <c r="E191" i="7"/>
  <c r="D191" i="7"/>
  <c r="E193" i="7"/>
  <c r="E194" i="7"/>
  <c r="D198" i="7" l="1"/>
  <c r="E189" i="7" l="1"/>
  <c r="E183" i="7" l="1"/>
  <c r="E187" i="7"/>
  <c r="F183" i="7"/>
  <c r="D183" i="7"/>
  <c r="E184" i="7"/>
  <c r="E182" i="7"/>
  <c r="D182" i="7"/>
  <c r="E180" i="7" l="1"/>
  <c r="E175" i="7"/>
  <c r="G234" i="7" l="1"/>
  <c r="G235" i="7"/>
  <c r="G207" i="7"/>
  <c r="G208" i="7"/>
  <c r="G209" i="7"/>
  <c r="G210" i="7"/>
  <c r="E215" i="7"/>
  <c r="F215" i="7"/>
  <c r="G216" i="7"/>
  <c r="G217" i="7"/>
  <c r="G218" i="7"/>
  <c r="G219" i="7"/>
  <c r="E224" i="7"/>
  <c r="F224" i="7"/>
  <c r="G225" i="7"/>
  <c r="G226" i="7"/>
  <c r="G227" i="7"/>
  <c r="G228" i="7"/>
  <c r="E233" i="7"/>
  <c r="G237" i="7" s="1"/>
  <c r="F233" i="7"/>
  <c r="F178" i="7"/>
  <c r="E242" i="7" l="1"/>
  <c r="G236" i="7"/>
  <c r="G242" i="7" s="1"/>
  <c r="F242" i="7"/>
  <c r="G215" i="7"/>
  <c r="G224" i="7"/>
  <c r="G233" i="7"/>
  <c r="E176" i="7" l="1"/>
  <c r="E173" i="7"/>
  <c r="E172" i="7"/>
  <c r="D172" i="7"/>
  <c r="E174" i="7"/>
  <c r="D180" i="7" l="1"/>
  <c r="E171" i="7" l="1"/>
  <c r="E169" i="7" l="1"/>
  <c r="E167" i="7"/>
  <c r="E163" i="7"/>
  <c r="D163" i="7"/>
  <c r="E164" i="7"/>
  <c r="E168" i="7"/>
  <c r="E165" i="7"/>
  <c r="G180" i="7" l="1"/>
  <c r="G181" i="7"/>
  <c r="G182" i="7"/>
  <c r="F188" i="7"/>
  <c r="G189" i="7"/>
  <c r="G190" i="7"/>
  <c r="G191" i="7"/>
  <c r="G192" i="7"/>
  <c r="E197" i="7"/>
  <c r="G201" i="7" s="1"/>
  <c r="F197" i="7"/>
  <c r="G198" i="7"/>
  <c r="G199" i="7"/>
  <c r="G200" i="7"/>
  <c r="F206" i="7"/>
  <c r="E206" i="7" l="1"/>
  <c r="G197" i="7"/>
  <c r="G206" i="7"/>
  <c r="E162" i="7"/>
  <c r="D156" i="7" l="1"/>
  <c r="E156" i="7"/>
  <c r="F156" i="7"/>
  <c r="E154" i="7"/>
  <c r="D154" i="7"/>
  <c r="E155" i="7"/>
  <c r="D155" i="7"/>
  <c r="E159" i="7"/>
  <c r="F155" i="7"/>
  <c r="G167" i="6" l="1"/>
  <c r="E145" i="7" l="1"/>
  <c r="E148" i="7"/>
  <c r="E149" i="7" l="1"/>
  <c r="D138" i="7"/>
  <c r="E146" i="7"/>
  <c r="D146" i="7"/>
  <c r="C145" i="7" l="1"/>
  <c r="C147" i="7"/>
  <c r="D153" i="7"/>
  <c r="G162" i="7"/>
  <c r="G163" i="7"/>
  <c r="G164" i="7"/>
  <c r="G165" i="7"/>
  <c r="E170" i="7"/>
  <c r="C170" i="7" s="1"/>
  <c r="F170" i="7"/>
  <c r="G171" i="7"/>
  <c r="G172" i="7"/>
  <c r="G173" i="7"/>
  <c r="G174" i="7"/>
  <c r="E179" i="7"/>
  <c r="F179" i="7"/>
  <c r="G183" i="7" l="1"/>
  <c r="G188" i="7" s="1"/>
  <c r="E188" i="7"/>
  <c r="G179" i="7"/>
  <c r="G170" i="7"/>
  <c r="E138" i="7"/>
  <c r="F142" i="7"/>
  <c r="E142" i="7"/>
  <c r="E140" i="7" l="1"/>
  <c r="E139" i="7" l="1"/>
  <c r="E137" i="7"/>
  <c r="D144" i="7" l="1"/>
  <c r="E78" i="7" l="1"/>
  <c r="F133" i="7" l="1"/>
  <c r="E133" i="7"/>
  <c r="E128" i="7"/>
  <c r="E130" i="7"/>
  <c r="E132" i="7"/>
  <c r="D128" i="7"/>
  <c r="E127" i="7" l="1"/>
  <c r="D127" i="7"/>
  <c r="C127" i="7"/>
  <c r="G144" i="7" l="1"/>
  <c r="G145" i="7"/>
  <c r="G146" i="7"/>
  <c r="G147" i="7"/>
  <c r="F152" i="7"/>
  <c r="G153" i="7"/>
  <c r="G154" i="7"/>
  <c r="G155" i="7"/>
  <c r="G156" i="7"/>
  <c r="E161" i="7"/>
  <c r="F161" i="7"/>
  <c r="G161" i="7" l="1"/>
  <c r="G152" i="7"/>
  <c r="E126" i="7"/>
  <c r="E123" i="7" l="1"/>
  <c r="E119" i="7"/>
  <c r="E118" i="7"/>
  <c r="E124" i="7"/>
  <c r="D118" i="7"/>
  <c r="E120" i="7"/>
  <c r="C120" i="7"/>
  <c r="E117" i="7" l="1"/>
  <c r="E111" i="7" l="1"/>
  <c r="D111" i="7"/>
  <c r="E113" i="7"/>
  <c r="C110" i="7"/>
  <c r="E110" i="7"/>
  <c r="D110" i="7"/>
  <c r="E114" i="7"/>
  <c r="E112" i="7"/>
  <c r="F110" i="7"/>
  <c r="E115" i="7"/>
  <c r="E100" i="7" l="1"/>
  <c r="E108" i="7" l="1"/>
  <c r="E85" i="7"/>
  <c r="E103" i="7" l="1"/>
  <c r="C101" i="7" l="1"/>
  <c r="D108" i="7" l="1"/>
  <c r="E106" i="7" l="1"/>
  <c r="D101" i="7"/>
  <c r="G126" i="7" l="1"/>
  <c r="G127" i="7"/>
  <c r="G128" i="7"/>
  <c r="G129" i="7"/>
  <c r="E134" i="7"/>
  <c r="F134" i="7"/>
  <c r="G135" i="7"/>
  <c r="G136" i="7"/>
  <c r="G137" i="7"/>
  <c r="G138" i="7"/>
  <c r="F143" i="7"/>
  <c r="G108" i="7"/>
  <c r="G109" i="7"/>
  <c r="G110" i="7"/>
  <c r="G111" i="7"/>
  <c r="E116" i="7"/>
  <c r="E125" i="7" s="1"/>
  <c r="F116" i="7"/>
  <c r="G117" i="7"/>
  <c r="G118" i="7"/>
  <c r="G119" i="7"/>
  <c r="G120" i="7"/>
  <c r="F125" i="7"/>
  <c r="E99" i="7"/>
  <c r="E143" i="7" l="1"/>
  <c r="G143" i="7"/>
  <c r="G134" i="7"/>
  <c r="G116" i="7"/>
  <c r="G125" i="7"/>
  <c r="C93" i="7"/>
  <c r="E95" i="7"/>
  <c r="E152" i="7" l="1"/>
  <c r="C100" i="7"/>
  <c r="E91" i="7" l="1"/>
  <c r="E96" i="7"/>
  <c r="E94" i="7"/>
  <c r="E92" i="7" l="1"/>
  <c r="E90" i="7" l="1"/>
  <c r="E84" i="7" l="1"/>
  <c r="C84" i="7"/>
  <c r="D84" i="7"/>
  <c r="E87" i="7"/>
  <c r="E86" i="7"/>
  <c r="E82" i="7"/>
  <c r="D82" i="7"/>
  <c r="E76" i="7" l="1"/>
  <c r="E81" i="7" l="1"/>
  <c r="D73" i="7" l="1"/>
  <c r="E73" i="7"/>
  <c r="E77" i="7"/>
  <c r="F79" i="7" l="1"/>
  <c r="E79" i="7"/>
  <c r="D81" i="7"/>
  <c r="E72" i="7" l="1"/>
  <c r="G90" i="7"/>
  <c r="G91" i="7"/>
  <c r="G92" i="7"/>
  <c r="G93" i="7"/>
  <c r="E98" i="7"/>
  <c r="F98" i="7"/>
  <c r="G99" i="7"/>
  <c r="G100" i="7"/>
  <c r="G101" i="7"/>
  <c r="G102" i="7"/>
  <c r="E107" i="7"/>
  <c r="F107" i="7"/>
  <c r="F70" i="7"/>
  <c r="G98" i="7" l="1"/>
  <c r="G107" i="7"/>
  <c r="E65" i="7"/>
  <c r="D65" i="7"/>
  <c r="C65" i="7"/>
  <c r="E56" i="7"/>
  <c r="E70" i="7"/>
  <c r="E69" i="7"/>
  <c r="F58" i="7"/>
  <c r="E58" i="7"/>
  <c r="E66" i="7"/>
  <c r="D58" i="7"/>
  <c r="C39" i="7" l="1"/>
  <c r="C12" i="7"/>
  <c r="C5" i="7"/>
  <c r="C57" i="7"/>
  <c r="D57" i="7"/>
  <c r="E50" i="7"/>
  <c r="E61" i="7"/>
  <c r="E57" i="7"/>
  <c r="D63" i="7"/>
  <c r="E63" i="7"/>
  <c r="G72" i="7" l="1"/>
  <c r="G73" i="7"/>
  <c r="G74" i="7"/>
  <c r="F80" i="7"/>
  <c r="G81" i="7"/>
  <c r="G82" i="7"/>
  <c r="G83" i="7"/>
  <c r="G84" i="7"/>
  <c r="F89" i="7"/>
  <c r="G89" i="7" l="1"/>
  <c r="E53" i="7"/>
  <c r="E47" i="7"/>
  <c r="D47" i="7"/>
  <c r="E46" i="7" l="1"/>
  <c r="E39" i="7" l="1"/>
  <c r="E43" i="7"/>
  <c r="D39" i="7"/>
  <c r="E38" i="7"/>
  <c r="E32" i="7" l="1"/>
  <c r="E17" i="7"/>
  <c r="E15" i="7"/>
  <c r="G63" i="7"/>
  <c r="G64" i="7"/>
  <c r="G65" i="7"/>
  <c r="G66" i="7"/>
  <c r="F71" i="7"/>
  <c r="G55" i="7"/>
  <c r="G56" i="7"/>
  <c r="G57" i="7"/>
  <c r="G58" i="7"/>
  <c r="E62" i="7"/>
  <c r="E71" i="7" s="1"/>
  <c r="F62" i="7"/>
  <c r="G75" i="7" l="1"/>
  <c r="G80" i="7" s="1"/>
  <c r="E80" i="7"/>
  <c r="E89" i="7" s="1"/>
  <c r="G71" i="7"/>
  <c r="G62" i="7"/>
  <c r="C40" i="7"/>
  <c r="C3" i="7" l="1"/>
  <c r="E31" i="7"/>
  <c r="E35" i="7"/>
  <c r="E30" i="7"/>
  <c r="E34" i="7"/>
  <c r="E29" i="7"/>
  <c r="D29" i="7"/>
  <c r="C29" i="7"/>
  <c r="E20" i="7" l="1"/>
  <c r="E23" i="7"/>
  <c r="D20" i="7"/>
  <c r="E21" i="7"/>
  <c r="E22" i="7"/>
  <c r="G46" i="7" l="1"/>
  <c r="G47" i="7"/>
  <c r="G48" i="7"/>
  <c r="G49" i="7"/>
  <c r="E54" i="7"/>
  <c r="F54" i="7"/>
  <c r="G54" i="7" l="1"/>
  <c r="E26" i="7"/>
  <c r="E12" i="7" l="1"/>
  <c r="D12" i="7"/>
  <c r="E11" i="7"/>
  <c r="E13" i="7"/>
  <c r="F17" i="7"/>
  <c r="G37" i="7" l="1"/>
  <c r="G38" i="7"/>
  <c r="G39" i="7"/>
  <c r="F45" i="7"/>
  <c r="G28" i="7"/>
  <c r="G29" i="7"/>
  <c r="G30" i="7"/>
  <c r="G31" i="7"/>
  <c r="F36" i="7"/>
  <c r="G19" i="7"/>
  <c r="G20" i="7"/>
  <c r="G21" i="7"/>
  <c r="G22" i="7"/>
  <c r="F27" i="7"/>
  <c r="D5" i="7"/>
  <c r="G36" i="7" l="1"/>
  <c r="G27" i="7"/>
  <c r="E3" i="7"/>
  <c r="E2" i="7" l="1"/>
  <c r="E4" i="7" l="1"/>
  <c r="D4" i="7"/>
  <c r="G11" i="7"/>
  <c r="G12" i="7"/>
  <c r="G13" i="7"/>
  <c r="G10" i="7"/>
  <c r="G3" i="7"/>
  <c r="G5" i="7"/>
  <c r="G2" i="7"/>
  <c r="G4" i="7" l="1"/>
  <c r="C158" i="6"/>
  <c r="C156" i="6" l="1"/>
  <c r="G158" i="6" l="1"/>
  <c r="C157" i="6" l="1"/>
  <c r="E151" i="6" l="1"/>
  <c r="D151" i="6"/>
  <c r="E153" i="6"/>
  <c r="D149" i="6" l="1"/>
  <c r="E149" i="6" l="1"/>
  <c r="E147" i="6" l="1"/>
  <c r="E144" i="6"/>
  <c r="E145" i="6" l="1"/>
  <c r="E143" i="6" l="1"/>
  <c r="E141" i="6" l="1"/>
  <c r="E138" i="6"/>
  <c r="D138" i="6"/>
  <c r="E139" i="6"/>
  <c r="D139" i="6"/>
  <c r="C139" i="6"/>
  <c r="E135" i="6"/>
  <c r="E18" i="7" l="1"/>
  <c r="E27" i="7" s="1"/>
  <c r="E36" i="7" s="1"/>
  <c r="F18" i="7"/>
  <c r="E9" i="7"/>
  <c r="F9" i="7"/>
  <c r="G40" i="7" l="1"/>
  <c r="G45" i="7" s="1"/>
  <c r="E45" i="7"/>
  <c r="G18" i="7"/>
  <c r="G9" i="7"/>
  <c r="C133" i="6" l="1"/>
  <c r="E127" i="6" l="1"/>
  <c r="E129" i="6"/>
  <c r="G129" i="6" s="1"/>
  <c r="E110" i="6" l="1"/>
  <c r="E108" i="6"/>
  <c r="D109" i="6"/>
  <c r="E109" i="6"/>
  <c r="C109" i="6"/>
  <c r="F243" i="7"/>
  <c r="C108" i="6"/>
  <c r="F105" i="6"/>
  <c r="E107" i="6" l="1"/>
  <c r="E243" i="7" l="1"/>
  <c r="G243" i="7"/>
  <c r="D103" i="6"/>
  <c r="E103" i="6"/>
  <c r="E102" i="6"/>
  <c r="E105" i="6"/>
  <c r="D102" i="6"/>
  <c r="E99" i="6" l="1"/>
  <c r="E97" i="6"/>
  <c r="D97" i="6"/>
  <c r="C97" i="6"/>
  <c r="E98" i="6"/>
  <c r="D98" i="6"/>
  <c r="C98" i="6"/>
  <c r="E96" i="6"/>
  <c r="E93" i="6" l="1"/>
  <c r="E92" i="6" l="1"/>
  <c r="E91" i="6"/>
  <c r="D92" i="6"/>
  <c r="D91" i="6"/>
  <c r="E84" i="6" l="1"/>
  <c r="E83" i="6" l="1"/>
  <c r="E78" i="6" l="1"/>
  <c r="F78" i="6"/>
  <c r="D71" i="6" l="1"/>
  <c r="E77" i="6" l="1"/>
  <c r="E81" i="6" s="1"/>
  <c r="E75" i="6" l="1"/>
  <c r="E74" i="6"/>
  <c r="E72" i="6"/>
  <c r="D72" i="6"/>
  <c r="E73" i="6"/>
  <c r="D73" i="6"/>
  <c r="F63" i="6" l="1"/>
  <c r="F60" i="6"/>
  <c r="C74" i="6" l="1"/>
  <c r="C73" i="6"/>
  <c r="E63" i="6"/>
  <c r="E69" i="6" l="1"/>
  <c r="E67" i="6"/>
  <c r="D67" i="6"/>
  <c r="E66" i="6"/>
  <c r="E68" i="6"/>
  <c r="E62" i="6" l="1"/>
  <c r="E60" i="6"/>
  <c r="E61" i="6"/>
  <c r="D61" i="6"/>
  <c r="D65" i="6" l="1"/>
  <c r="E56" i="6" l="1"/>
  <c r="E57" i="6"/>
  <c r="C56" i="6"/>
  <c r="E54" i="6"/>
  <c r="E55" i="6" l="1"/>
  <c r="D55" i="6"/>
  <c r="G55" i="6" l="1"/>
  <c r="E51" i="6" l="1"/>
  <c r="E50" i="6"/>
  <c r="E49" i="6"/>
  <c r="E48" i="6"/>
  <c r="E42" i="6" l="1"/>
  <c r="F42" i="6"/>
  <c r="D44" i="6"/>
  <c r="D43" i="6"/>
  <c r="E43" i="6"/>
  <c r="E45" i="6" l="1"/>
  <c r="C46" i="6"/>
  <c r="E36" i="6" l="1"/>
  <c r="E38" i="6"/>
  <c r="E39" i="6"/>
  <c r="E37" i="6"/>
  <c r="E27" i="6" l="1"/>
  <c r="F27" i="6"/>
  <c r="D41" i="6" l="1"/>
  <c r="E33" i="6" l="1"/>
  <c r="E32" i="6"/>
  <c r="D31" i="6"/>
  <c r="F31" i="6"/>
  <c r="E31" i="6"/>
  <c r="E25" i="6" l="1"/>
  <c r="E24" i="6"/>
  <c r="D18" i="6" l="1"/>
  <c r="D19" i="6"/>
  <c r="E19" i="6"/>
  <c r="E21" i="6"/>
  <c r="D23" i="6" l="1"/>
  <c r="E14" i="6" l="1"/>
  <c r="G14" i="6" s="1"/>
  <c r="E15" i="6"/>
  <c r="E5" i="6"/>
  <c r="E13" i="6"/>
  <c r="E11" i="6" l="1"/>
  <c r="E7" i="6" l="1"/>
  <c r="C6" i="6"/>
  <c r="C181" i="4" l="1"/>
  <c r="B182" i="4"/>
  <c r="E147" i="4" l="1"/>
  <c r="E145" i="4"/>
  <c r="C145" i="4"/>
  <c r="G146" i="4" l="1"/>
  <c r="C148" i="4"/>
  <c r="E138" i="4" l="1"/>
  <c r="E141" i="4"/>
  <c r="E139" i="4" l="1"/>
  <c r="D139" i="4"/>
  <c r="C138" i="4" l="1"/>
  <c r="E137" i="4" l="1"/>
  <c r="C180" i="4" s="1"/>
  <c r="D133" i="4" l="1"/>
  <c r="C179" i="4"/>
  <c r="E132" i="4"/>
  <c r="G132" i="4" s="1"/>
  <c r="D80" i="4"/>
  <c r="D92" i="4"/>
  <c r="D98" i="4"/>
  <c r="D105" i="4"/>
  <c r="D111" i="4"/>
  <c r="D129" i="4"/>
  <c r="D134" i="4"/>
  <c r="E127" i="4" l="1"/>
  <c r="E128" i="4" l="1"/>
  <c r="D128" i="4"/>
  <c r="E129" i="4"/>
  <c r="G129" i="4" s="1"/>
  <c r="E126" i="4"/>
  <c r="D126" i="4"/>
  <c r="C178" i="4"/>
  <c r="C128" i="4" l="1"/>
  <c r="E122" i="4" l="1"/>
  <c r="D120" i="4" l="1"/>
  <c r="E120" i="4"/>
  <c r="D121" i="4" l="1"/>
  <c r="C177" i="4" l="1"/>
  <c r="E115" i="4" l="1"/>
  <c r="E114" i="4"/>
  <c r="F114" i="4"/>
  <c r="E113" i="4" l="1"/>
  <c r="E111" i="4" l="1"/>
  <c r="E108" i="4"/>
  <c r="D108" i="4"/>
  <c r="E109" i="4"/>
  <c r="C108" i="4" l="1"/>
  <c r="C176" i="4" l="1"/>
  <c r="E107" i="4" l="1"/>
  <c r="C175" i="4" s="1"/>
  <c r="E101" i="4" l="1"/>
  <c r="E104" i="4"/>
  <c r="E105" i="4"/>
  <c r="D101" i="4"/>
  <c r="C174" i="4" l="1"/>
  <c r="B174" i="4"/>
  <c r="G102" i="4" l="1"/>
  <c r="F95" i="4" l="1"/>
  <c r="B173" i="4" l="1"/>
  <c r="C173" i="4"/>
  <c r="C172" i="4"/>
  <c r="D100" i="4" l="1"/>
  <c r="E98" i="4" l="1"/>
  <c r="D94" i="4" l="1"/>
  <c r="E92" i="4" l="1"/>
  <c r="E89" i="4" l="1"/>
  <c r="F90" i="4" l="1"/>
  <c r="E85" i="4" l="1"/>
  <c r="B171" i="4" s="1"/>
  <c r="C171" i="4"/>
  <c r="E86" i="4"/>
  <c r="C91" i="4"/>
  <c r="C84" i="4"/>
  <c r="G78" i="6" l="1"/>
  <c r="G79" i="6"/>
  <c r="G80" i="6"/>
  <c r="G77" i="6"/>
  <c r="G73" i="6"/>
  <c r="G67" i="6"/>
  <c r="G60" i="6"/>
  <c r="G42" i="6"/>
  <c r="G49" i="6"/>
  <c r="G37" i="6"/>
  <c r="G30" i="6"/>
  <c r="G25" i="6"/>
  <c r="G20" i="6"/>
  <c r="G6" i="6"/>
  <c r="G7" i="6"/>
  <c r="G8" i="6"/>
  <c r="G5" i="6"/>
  <c r="H161" i="6"/>
  <c r="F160" i="6"/>
  <c r="E160" i="6"/>
  <c r="G157" i="6"/>
  <c r="G156" i="6"/>
  <c r="G155" i="6"/>
  <c r="F154" i="6"/>
  <c r="E154" i="6"/>
  <c r="G153" i="6"/>
  <c r="G152" i="6"/>
  <c r="G151" i="6"/>
  <c r="G150" i="6"/>
  <c r="G149" i="6"/>
  <c r="F148" i="6"/>
  <c r="E148" i="6"/>
  <c r="G146" i="6"/>
  <c r="G145" i="6"/>
  <c r="G144" i="6"/>
  <c r="G143" i="6"/>
  <c r="F142" i="6"/>
  <c r="E142" i="6"/>
  <c r="G140" i="6"/>
  <c r="G139" i="6"/>
  <c r="G138" i="6"/>
  <c r="G137" i="6"/>
  <c r="F136" i="6"/>
  <c r="E136" i="6"/>
  <c r="G134" i="6"/>
  <c r="G133" i="6"/>
  <c r="G132" i="6"/>
  <c r="G131" i="6"/>
  <c r="F130" i="6"/>
  <c r="E130" i="6"/>
  <c r="G128" i="6"/>
  <c r="G127" i="6"/>
  <c r="G126" i="6"/>
  <c r="G125" i="6"/>
  <c r="F124" i="6"/>
  <c r="E124" i="6"/>
  <c r="G122" i="6"/>
  <c r="G121" i="6"/>
  <c r="G120" i="6"/>
  <c r="G119" i="6"/>
  <c r="F118" i="6"/>
  <c r="E118" i="6"/>
  <c r="G117" i="6"/>
  <c r="G116" i="6"/>
  <c r="G115" i="6"/>
  <c r="G114" i="6"/>
  <c r="G113" i="6"/>
  <c r="F112" i="6"/>
  <c r="E112" i="6"/>
  <c r="G111" i="6"/>
  <c r="G110" i="6"/>
  <c r="G109" i="6"/>
  <c r="G108" i="6"/>
  <c r="G107" i="6"/>
  <c r="F106" i="6"/>
  <c r="E106" i="6"/>
  <c r="G105" i="6"/>
  <c r="G104" i="6"/>
  <c r="G103" i="6"/>
  <c r="G102" i="6"/>
  <c r="G101" i="6"/>
  <c r="F100" i="6"/>
  <c r="E100" i="6"/>
  <c r="G99" i="6"/>
  <c r="G98" i="6"/>
  <c r="G97" i="6"/>
  <c r="G96" i="6"/>
  <c r="G95" i="6"/>
  <c r="F94" i="6"/>
  <c r="G93" i="6"/>
  <c r="G91" i="6"/>
  <c r="G90" i="6"/>
  <c r="G89" i="6"/>
  <c r="F88" i="6"/>
  <c r="G86" i="6"/>
  <c r="G85" i="6"/>
  <c r="G84" i="6"/>
  <c r="G83" i="6"/>
  <c r="F82" i="6"/>
  <c r="F76" i="6"/>
  <c r="G74" i="6"/>
  <c r="G72" i="6"/>
  <c r="F70" i="6"/>
  <c r="G68" i="6"/>
  <c r="G66" i="6"/>
  <c r="G65" i="6"/>
  <c r="F64" i="6"/>
  <c r="G62" i="6"/>
  <c r="G59" i="6"/>
  <c r="F58" i="6"/>
  <c r="G56" i="6"/>
  <c r="G54" i="6"/>
  <c r="G53" i="6"/>
  <c r="F52" i="6"/>
  <c r="G50" i="6"/>
  <c r="G48" i="6"/>
  <c r="G47" i="6"/>
  <c r="F46" i="6"/>
  <c r="G43" i="6"/>
  <c r="G41" i="6"/>
  <c r="F40" i="6"/>
  <c r="G36" i="6"/>
  <c r="G35" i="6"/>
  <c r="F34" i="6"/>
  <c r="G29" i="6"/>
  <c r="F28" i="6"/>
  <c r="G26" i="6"/>
  <c r="G24" i="6"/>
  <c r="G23" i="6"/>
  <c r="F22" i="6"/>
  <c r="G18" i="6"/>
  <c r="G17" i="6"/>
  <c r="F16" i="6"/>
  <c r="G13" i="6"/>
  <c r="E16" i="6"/>
  <c r="G11" i="6"/>
  <c r="F10" i="6"/>
  <c r="E10" i="6"/>
  <c r="F130" i="4"/>
  <c r="F136" i="4"/>
  <c r="F142" i="4"/>
  <c r="F148" i="4"/>
  <c r="E148" i="4"/>
  <c r="E142" i="4"/>
  <c r="B180" i="4" s="1"/>
  <c r="E136" i="4"/>
  <c r="B179" i="4" s="1"/>
  <c r="E130" i="4"/>
  <c r="B178" i="4" s="1"/>
  <c r="F124" i="4"/>
  <c r="E124" i="4"/>
  <c r="B177" i="4" s="1"/>
  <c r="F118" i="4"/>
  <c r="E118" i="4"/>
  <c r="B176" i="4" s="1"/>
  <c r="F112" i="4"/>
  <c r="E112" i="4"/>
  <c r="B175" i="4" s="1"/>
  <c r="F106" i="4"/>
  <c r="E106" i="4"/>
  <c r="F99" i="4"/>
  <c r="E99" i="4"/>
  <c r="F93" i="4"/>
  <c r="E93" i="4"/>
  <c r="B172" i="4" s="1"/>
  <c r="G89" i="4"/>
  <c r="G90" i="4"/>
  <c r="G91" i="4"/>
  <c r="G92" i="4"/>
  <c r="G94" i="4"/>
  <c r="G95" i="4"/>
  <c r="G96" i="4"/>
  <c r="G97" i="4"/>
  <c r="G98" i="4"/>
  <c r="G100" i="4"/>
  <c r="G101" i="4"/>
  <c r="G103" i="4"/>
  <c r="G104" i="4"/>
  <c r="G105" i="4"/>
  <c r="G107" i="4"/>
  <c r="G108" i="4"/>
  <c r="G109" i="4"/>
  <c r="G110" i="4"/>
  <c r="G111" i="4"/>
  <c r="G113" i="4"/>
  <c r="G114" i="4"/>
  <c r="G115" i="4"/>
  <c r="G116" i="4"/>
  <c r="G117" i="4"/>
  <c r="G119" i="4"/>
  <c r="G120" i="4"/>
  <c r="G121" i="4"/>
  <c r="G122" i="4"/>
  <c r="G123" i="4"/>
  <c r="G125" i="4"/>
  <c r="G126" i="4"/>
  <c r="G127" i="4"/>
  <c r="G128" i="4"/>
  <c r="G131" i="4"/>
  <c r="G133" i="4"/>
  <c r="G134" i="4"/>
  <c r="G137" i="4"/>
  <c r="G138" i="4"/>
  <c r="G139" i="4"/>
  <c r="G140" i="4"/>
  <c r="G141" i="4"/>
  <c r="G143" i="4"/>
  <c r="G144" i="4"/>
  <c r="G145" i="4"/>
  <c r="G147" i="4"/>
  <c r="D88" i="4"/>
  <c r="G88" i="4" s="1"/>
  <c r="B181" i="4" l="1"/>
  <c r="G130" i="4"/>
  <c r="E46" i="6"/>
  <c r="G19" i="6"/>
  <c r="G22" i="6" s="1"/>
  <c r="E22" i="6"/>
  <c r="E58" i="6"/>
  <c r="G38" i="6"/>
  <c r="G40" i="6" s="1"/>
  <c r="E94" i="6"/>
  <c r="G32" i="6"/>
  <c r="E40" i="6"/>
  <c r="G106" i="6"/>
  <c r="G100" i="6"/>
  <c r="G148" i="6"/>
  <c r="G124" i="6"/>
  <c r="G118" i="6"/>
  <c r="G44" i="6"/>
  <c r="G46" i="6" s="1"/>
  <c r="E52" i="6"/>
  <c r="E64" i="6"/>
  <c r="E88" i="6"/>
  <c r="G154" i="6"/>
  <c r="E70" i="6"/>
  <c r="G142" i="6"/>
  <c r="G136" i="6"/>
  <c r="G70" i="6"/>
  <c r="G130" i="6"/>
  <c r="G112" i="6"/>
  <c r="G160" i="6"/>
  <c r="F161" i="6"/>
  <c r="G52" i="6"/>
  <c r="G28" i="6"/>
  <c r="G10" i="6"/>
  <c r="E82" i="6"/>
  <c r="G61" i="6"/>
  <c r="G64" i="6" s="1"/>
  <c r="E76" i="6"/>
  <c r="G12" i="6"/>
  <c r="G16" i="6" s="1"/>
  <c r="E28" i="6"/>
  <c r="G58" i="6"/>
  <c r="G71" i="6"/>
  <c r="G76" i="6" s="1"/>
  <c r="G88" i="6"/>
  <c r="G92" i="6"/>
  <c r="G94" i="6" s="1"/>
  <c r="G136" i="4"/>
  <c r="G142" i="4"/>
  <c r="G148" i="4"/>
  <c r="G124" i="4"/>
  <c r="G118" i="4"/>
  <c r="G112" i="4"/>
  <c r="G106" i="4"/>
  <c r="G93" i="4"/>
  <c r="G99" i="4"/>
  <c r="G82" i="6" l="1"/>
  <c r="G31" i="6" l="1"/>
  <c r="G34" i="6" s="1"/>
  <c r="E34" i="6"/>
  <c r="E80" i="4"/>
  <c r="E79" i="4"/>
  <c r="E161" i="6" l="1"/>
  <c r="G161" i="6"/>
  <c r="G79" i="4"/>
  <c r="G85" i="4"/>
  <c r="C170" i="4" l="1"/>
  <c r="E73" i="4" l="1"/>
  <c r="G73" i="4" s="1"/>
  <c r="E74" i="4"/>
  <c r="E71" i="4" l="1"/>
  <c r="G83" i="4" l="1"/>
  <c r="G84" i="4"/>
  <c r="G86" i="4"/>
  <c r="G82" i="4"/>
  <c r="F87" i="4"/>
  <c r="E87" i="4"/>
  <c r="F81" i="4"/>
  <c r="E81" i="4"/>
  <c r="B170" i="4" s="1"/>
  <c r="G77" i="4"/>
  <c r="G78" i="4"/>
  <c r="G80" i="4"/>
  <c r="G76" i="4"/>
  <c r="G87" i="4" l="1"/>
  <c r="G81" i="4"/>
  <c r="D70" i="4"/>
  <c r="E66" i="4" l="1"/>
  <c r="G66" i="4" s="1"/>
  <c r="E68" i="4"/>
  <c r="E67" i="4"/>
  <c r="D67" i="4"/>
  <c r="F67" i="4"/>
  <c r="D68" i="4"/>
  <c r="E61" i="4" l="1"/>
  <c r="E60" i="4"/>
  <c r="E65" i="4"/>
  <c r="C66" i="4" l="1"/>
  <c r="E63" i="4" l="1"/>
  <c r="E57" i="4" l="1"/>
  <c r="E56" i="4"/>
  <c r="D181" i="4" l="1"/>
  <c r="D172" i="4"/>
  <c r="D173" i="4"/>
  <c r="D174" i="4"/>
  <c r="D175" i="4"/>
  <c r="D176" i="4"/>
  <c r="D177" i="4"/>
  <c r="D178" i="4"/>
  <c r="D179" i="4"/>
  <c r="D180" i="4"/>
  <c r="C169" i="4"/>
  <c r="C168" i="4"/>
  <c r="C167" i="4"/>
  <c r="D170" i="4"/>
  <c r="D171" i="4"/>
  <c r="C166" i="4"/>
  <c r="C165" i="4"/>
  <c r="C164" i="4"/>
  <c r="C163" i="4"/>
  <c r="C162" i="4"/>
  <c r="C161" i="4"/>
  <c r="C160" i="4"/>
  <c r="C159" i="4"/>
  <c r="C158" i="4"/>
  <c r="C157" i="4"/>
  <c r="C156" i="4"/>
  <c r="E58" i="4"/>
  <c r="E38" i="4"/>
  <c r="C182" i="4" l="1"/>
  <c r="E51" i="4"/>
  <c r="E52" i="4"/>
  <c r="E48" i="4" l="1"/>
  <c r="F48" i="4"/>
  <c r="E47" i="4" l="1"/>
  <c r="E42" i="4" l="1"/>
  <c r="B8" i="3" l="1"/>
  <c r="D36" i="4" l="1"/>
  <c r="D37" i="4"/>
  <c r="E37" i="4"/>
  <c r="F75" i="4" l="1"/>
  <c r="E75" i="4"/>
  <c r="B169" i="4" s="1"/>
  <c r="D169" i="4" s="1"/>
  <c r="F69" i="4"/>
  <c r="E69" i="4"/>
  <c r="B168" i="4" s="1"/>
  <c r="D168" i="4" s="1"/>
  <c r="F64" i="4"/>
  <c r="E64" i="4"/>
  <c r="B167" i="4" s="1"/>
  <c r="D167" i="4" s="1"/>
  <c r="F59" i="4"/>
  <c r="E59" i="4"/>
  <c r="B166" i="4" s="1"/>
  <c r="D166" i="4" s="1"/>
  <c r="E54" i="4"/>
  <c r="B165" i="4" s="1"/>
  <c r="D165" i="4" s="1"/>
  <c r="F54" i="4"/>
  <c r="E49" i="4"/>
  <c r="B164" i="4" s="1"/>
  <c r="D164" i="4" s="1"/>
  <c r="F49" i="4"/>
  <c r="G71" i="4"/>
  <c r="G72" i="4"/>
  <c r="G74" i="4"/>
  <c r="G70" i="4"/>
  <c r="G67" i="4"/>
  <c r="G68" i="4"/>
  <c r="G65" i="4"/>
  <c r="G61" i="4"/>
  <c r="G62" i="4"/>
  <c r="G63" i="4"/>
  <c r="G60" i="4"/>
  <c r="G56" i="4"/>
  <c r="G57" i="4"/>
  <c r="G58" i="4"/>
  <c r="G55" i="4"/>
  <c r="G51" i="4"/>
  <c r="G52" i="4"/>
  <c r="G53" i="4"/>
  <c r="G50" i="4"/>
  <c r="G46" i="4"/>
  <c r="G47" i="4"/>
  <c r="G48" i="4"/>
  <c r="G45" i="4"/>
  <c r="G41" i="4"/>
  <c r="G42" i="4"/>
  <c r="G43" i="4"/>
  <c r="G40" i="4"/>
  <c r="G49" i="4" l="1"/>
  <c r="G59" i="4"/>
  <c r="G54" i="4"/>
  <c r="G64" i="4"/>
  <c r="G69" i="4"/>
  <c r="G75" i="4"/>
  <c r="G36" i="4" l="1"/>
  <c r="G37" i="4"/>
  <c r="G38" i="4"/>
  <c r="G35" i="4"/>
  <c r="E32" i="4" l="1"/>
  <c r="F32" i="4"/>
  <c r="E28" i="4" l="1"/>
  <c r="F28" i="4"/>
  <c r="E27" i="4"/>
  <c r="D27" i="4"/>
  <c r="E17" i="4"/>
  <c r="E13" i="4"/>
  <c r="E11" i="4"/>
  <c r="E22" i="4"/>
  <c r="F44" i="4" l="1"/>
  <c r="G44" i="4"/>
  <c r="E44" i="4"/>
  <c r="F39" i="4"/>
  <c r="G39" i="4"/>
  <c r="E39" i="4"/>
  <c r="B162" i="4" s="1"/>
  <c r="D162" i="4" s="1"/>
  <c r="E21" i="4"/>
  <c r="B163" i="4" l="1"/>
  <c r="D163" i="4" s="1"/>
  <c r="D23" i="4"/>
  <c r="C23" i="4" l="1"/>
  <c r="E121" i="2"/>
  <c r="E113" i="2"/>
  <c r="E110" i="2"/>
  <c r="E108" i="2"/>
  <c r="B158" i="4" l="1"/>
  <c r="D158" i="4" s="1"/>
  <c r="F34" i="4" l="1"/>
  <c r="E34" i="4"/>
  <c r="G31" i="4"/>
  <c r="G32" i="4"/>
  <c r="G33" i="4"/>
  <c r="G30" i="4"/>
  <c r="G26" i="4"/>
  <c r="G27" i="4"/>
  <c r="G28" i="4"/>
  <c r="G25" i="4"/>
  <c r="F29" i="4"/>
  <c r="E29" i="4"/>
  <c r="B160" i="4" s="1"/>
  <c r="D160" i="4" s="1"/>
  <c r="F95" i="2"/>
  <c r="E95" i="2"/>
  <c r="E12" i="4"/>
  <c r="B161" i="4" l="1"/>
  <c r="D161" i="4" s="1"/>
  <c r="G34" i="4"/>
  <c r="G29" i="4"/>
  <c r="E24" i="4"/>
  <c r="B159" i="4" s="1"/>
  <c r="D159" i="4" s="1"/>
  <c r="F24" i="4"/>
  <c r="G21" i="4"/>
  <c r="G22" i="4"/>
  <c r="G23" i="4"/>
  <c r="G20" i="4"/>
  <c r="G24" i="4" l="1"/>
  <c r="B157" i="4"/>
  <c r="D157" i="4" s="1"/>
  <c r="G16" i="4" l="1"/>
  <c r="G17" i="4"/>
  <c r="G18" i="4"/>
  <c r="G15" i="4"/>
  <c r="G11" i="4"/>
  <c r="G12" i="4"/>
  <c r="G13" i="4"/>
  <c r="G10" i="4"/>
  <c r="G8" i="4"/>
  <c r="E7" i="4" l="1"/>
  <c r="B156" i="4" s="1"/>
  <c r="D156" i="4" l="1"/>
  <c r="D182" i="4" s="1"/>
  <c r="G7" i="4"/>
  <c r="G19" i="4"/>
  <c r="D6" i="4"/>
  <c r="G6" i="4" s="1"/>
  <c r="G9" i="4" l="1"/>
  <c r="G14" i="4"/>
  <c r="E94" i="2" l="1"/>
  <c r="E125" i="2" l="1"/>
  <c r="B125" i="2"/>
  <c r="E89" i="2"/>
  <c r="E90" i="2"/>
  <c r="E91" i="2"/>
  <c r="D91" i="2"/>
  <c r="E88" i="2"/>
  <c r="B124" i="2" s="1"/>
  <c r="F89" i="2"/>
  <c r="D89" i="2"/>
  <c r="E124" i="2" l="1"/>
  <c r="D92" i="2"/>
  <c r="C89" i="2" l="1"/>
  <c r="E86" i="2"/>
  <c r="E123" i="2" s="1"/>
  <c r="D86" i="2"/>
  <c r="C87" i="2" l="1"/>
  <c r="C85" i="2"/>
  <c r="C86" i="2"/>
  <c r="E84" i="2"/>
  <c r="B123" i="2" s="1"/>
  <c r="E81" i="2" l="1"/>
  <c r="E83" i="2"/>
  <c r="C83" i="2"/>
  <c r="E122" i="2" l="1"/>
  <c r="E80" i="2"/>
  <c r="B122" i="2" s="1"/>
  <c r="G85" i="2" l="1"/>
  <c r="D78" i="2"/>
  <c r="G95" i="2"/>
  <c r="G94" i="2"/>
  <c r="G93" i="2"/>
  <c r="G92" i="2"/>
  <c r="G91" i="2"/>
  <c r="G90" i="2"/>
  <c r="G89" i="2"/>
  <c r="G88" i="2"/>
  <c r="G87" i="2"/>
  <c r="G86" i="2"/>
  <c r="G84" i="2"/>
  <c r="C121" i="2" l="1"/>
  <c r="B121" i="2" l="1"/>
  <c r="E72" i="2"/>
  <c r="F72" i="2"/>
  <c r="F75" i="2"/>
  <c r="E75" i="2"/>
  <c r="E120" i="2" s="1"/>
  <c r="B120" i="2" l="1"/>
  <c r="D75" i="2"/>
  <c r="D74" i="2"/>
  <c r="C74" i="2"/>
  <c r="E70" i="2" l="1"/>
  <c r="E119" i="2" s="1"/>
  <c r="B119" i="2" l="1"/>
  <c r="E66" i="2" l="1"/>
  <c r="E67" i="2"/>
  <c r="F67" i="2"/>
  <c r="E64" i="2"/>
  <c r="E118" i="2" l="1"/>
  <c r="B118" i="2"/>
  <c r="E24" i="2"/>
  <c r="E106" i="2" s="1"/>
  <c r="E14" i="2"/>
  <c r="E103" i="2" s="1"/>
  <c r="E63" i="2" l="1"/>
  <c r="B117" i="2" l="1"/>
  <c r="E117" i="2"/>
  <c r="E59" i="2"/>
  <c r="E60" i="2" l="1"/>
  <c r="E116" i="2" s="1"/>
  <c r="F19" i="4"/>
  <c r="F14" i="4"/>
  <c r="F9" i="4"/>
  <c r="E19" i="4"/>
  <c r="E14" i="4"/>
  <c r="H149" i="4"/>
  <c r="E9" i="4"/>
  <c r="E6" i="2"/>
  <c r="E100" i="2" s="1"/>
  <c r="E9" i="2"/>
  <c r="E101" i="2" s="1"/>
  <c r="E12" i="2"/>
  <c r="E102" i="2" s="1"/>
  <c r="E16" i="2"/>
  <c r="E17" i="2"/>
  <c r="E18" i="2"/>
  <c r="E20" i="2"/>
  <c r="E105" i="2" s="1"/>
  <c r="E26" i="2"/>
  <c r="E107" i="2" s="1"/>
  <c r="E32" i="2"/>
  <c r="E109" i="2" s="1"/>
  <c r="E34" i="2"/>
  <c r="E38" i="2"/>
  <c r="E39" i="2"/>
  <c r="E40" i="2"/>
  <c r="E43" i="2"/>
  <c r="E112" i="2" s="1"/>
  <c r="E51" i="2"/>
  <c r="E52" i="2"/>
  <c r="E53" i="2"/>
  <c r="E55" i="2"/>
  <c r="E56" i="2"/>
  <c r="E115" i="2" l="1"/>
  <c r="E114" i="2"/>
  <c r="E111" i="2"/>
  <c r="E104" i="2"/>
  <c r="E126" i="2"/>
  <c r="F149" i="4"/>
  <c r="G149" i="4"/>
  <c r="E149" i="4"/>
  <c r="E96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B116" i="2"/>
  <c r="G60" i="2" l="1"/>
  <c r="G59" i="2"/>
  <c r="G58" i="2"/>
  <c r="G57" i="2"/>
  <c r="B115" i="2" l="1"/>
  <c r="G56" i="2" l="1"/>
  <c r="G55" i="2"/>
  <c r="G54" i="2"/>
  <c r="G53" i="2"/>
  <c r="B114" i="2"/>
  <c r="B113" i="2" l="1"/>
  <c r="C46" i="2"/>
  <c r="G49" i="2" l="1"/>
  <c r="G50" i="2"/>
  <c r="G51" i="2"/>
  <c r="G52" i="2"/>
  <c r="D45" i="2" l="1"/>
  <c r="G48" i="2" l="1"/>
  <c r="B112" i="2" l="1"/>
  <c r="D39" i="2" l="1"/>
  <c r="B111" i="2" l="1"/>
  <c r="B110" i="2" l="1"/>
  <c r="G47" i="2"/>
  <c r="G46" i="2"/>
  <c r="G45" i="2"/>
  <c r="G44" i="2"/>
  <c r="G43" i="2"/>
  <c r="G42" i="2"/>
  <c r="G41" i="2"/>
  <c r="G40" i="2"/>
  <c r="G39" i="2"/>
  <c r="G38" i="2"/>
  <c r="B109" i="2" l="1"/>
  <c r="F32" i="2"/>
  <c r="B108" i="2" l="1"/>
  <c r="B107" i="2" l="1"/>
  <c r="B106" i="2" l="1"/>
  <c r="F20" i="2" l="1"/>
  <c r="G37" i="2" l="1"/>
  <c r="G35" i="2"/>
  <c r="G36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B105" i="2"/>
  <c r="D18" i="2"/>
  <c r="F17" i="2" l="1"/>
  <c r="D17" i="2"/>
  <c r="B104" i="2" l="1"/>
  <c r="F16" i="2"/>
  <c r="B103" i="2" l="1"/>
  <c r="D14" i="2"/>
  <c r="B102" i="2" l="1"/>
  <c r="G21" i="2" l="1"/>
  <c r="G20" i="2"/>
  <c r="G19" i="2"/>
  <c r="G18" i="2"/>
  <c r="G17" i="2"/>
  <c r="G16" i="2"/>
  <c r="G15" i="2"/>
  <c r="G14" i="2"/>
  <c r="G13" i="2"/>
  <c r="B101" i="2" l="1"/>
  <c r="B100" i="2" l="1"/>
  <c r="B126" i="2" s="1"/>
  <c r="B96" i="2" l="1"/>
  <c r="D96" i="2"/>
  <c r="F96" i="2"/>
  <c r="G4" i="2"/>
  <c r="G5" i="2"/>
  <c r="G6" i="2"/>
  <c r="G7" i="2"/>
  <c r="G8" i="2"/>
  <c r="G9" i="2"/>
  <c r="G10" i="2"/>
  <c r="G11" i="2"/>
  <c r="G12" i="2"/>
  <c r="G96" i="2" l="1"/>
  <c r="B86" i="1"/>
  <c r="B85" i="1" l="1"/>
  <c r="D72" i="1" l="1"/>
  <c r="D70" i="1" l="1"/>
  <c r="B84" i="1" s="1"/>
  <c r="C70" i="1"/>
  <c r="B83" i="1" l="1"/>
  <c r="B82" i="1" l="1"/>
  <c r="F77" i="1"/>
  <c r="I77" i="1"/>
  <c r="F76" i="1"/>
  <c r="I76" i="1"/>
  <c r="F75" i="1"/>
  <c r="I75" i="1"/>
  <c r="F74" i="1"/>
  <c r="I74" i="1"/>
  <c r="F73" i="1"/>
  <c r="I73" i="1"/>
  <c r="F72" i="1"/>
  <c r="I72" i="1"/>
  <c r="F71" i="1"/>
  <c r="I71" i="1"/>
  <c r="F70" i="1"/>
  <c r="I70" i="1"/>
  <c r="F69" i="1"/>
  <c r="I69" i="1"/>
  <c r="F68" i="1"/>
  <c r="I68" i="1"/>
  <c r="F67" i="1"/>
  <c r="I67" i="1"/>
  <c r="F66" i="1"/>
  <c r="I66" i="1"/>
  <c r="F65" i="1"/>
  <c r="I65" i="1"/>
  <c r="B87" i="1" l="1"/>
  <c r="D61" i="1"/>
  <c r="E61" i="1"/>
  <c r="F60" i="1" l="1"/>
  <c r="I60" i="1"/>
  <c r="D54" i="1" l="1"/>
  <c r="C54" i="1"/>
  <c r="D55" i="1" l="1"/>
  <c r="C55" i="1"/>
  <c r="C52" i="1" l="1"/>
  <c r="D26" i="1" l="1"/>
  <c r="D34" i="1"/>
  <c r="F64" i="1"/>
  <c r="I64" i="1"/>
  <c r="F63" i="1"/>
  <c r="I63" i="1"/>
  <c r="F62" i="1"/>
  <c r="I62" i="1"/>
  <c r="F61" i="1"/>
  <c r="I61" i="1"/>
  <c r="F59" i="1"/>
  <c r="I59" i="1"/>
  <c r="F58" i="1"/>
  <c r="I58" i="1"/>
  <c r="F57" i="1"/>
  <c r="I57" i="1"/>
  <c r="F56" i="1"/>
  <c r="I56" i="1"/>
  <c r="F55" i="1"/>
  <c r="I55" i="1"/>
  <c r="F54" i="1"/>
  <c r="I54" i="1"/>
  <c r="E49" i="1" l="1"/>
  <c r="C46" i="1" l="1"/>
  <c r="F53" i="1"/>
  <c r="I53" i="1"/>
  <c r="F52" i="1"/>
  <c r="I52" i="1"/>
  <c r="F51" i="1"/>
  <c r="I51" i="1"/>
  <c r="F50" i="1"/>
  <c r="I50" i="1"/>
  <c r="E78" i="1" l="1"/>
  <c r="F49" i="1" l="1"/>
  <c r="I49" i="1"/>
  <c r="F48" i="1"/>
  <c r="I48" i="1"/>
  <c r="F47" i="1"/>
  <c r="I47" i="1"/>
  <c r="F46" i="1"/>
  <c r="I46" i="1"/>
  <c r="F45" i="1"/>
  <c r="I45" i="1"/>
  <c r="F44" i="1" l="1"/>
  <c r="I44" i="1"/>
  <c r="F43" i="1"/>
  <c r="I43" i="1"/>
  <c r="F42" i="1"/>
  <c r="I42" i="1"/>
  <c r="F41" i="1"/>
  <c r="I41" i="1"/>
  <c r="F40" i="1"/>
  <c r="I40" i="1"/>
  <c r="F39" i="1"/>
  <c r="I39" i="1"/>
  <c r="F38" i="1"/>
  <c r="I38" i="1"/>
  <c r="C37" i="1"/>
  <c r="D37" i="1"/>
  <c r="F37" i="1" l="1"/>
  <c r="I37" i="1"/>
  <c r="F36" i="1"/>
  <c r="I36" i="1"/>
  <c r="F35" i="1"/>
  <c r="I35" i="1"/>
  <c r="F34" i="1"/>
  <c r="I34" i="1"/>
  <c r="F33" i="1"/>
  <c r="I33" i="1"/>
  <c r="F32" i="1"/>
  <c r="I32" i="1"/>
  <c r="D31" i="1" l="1"/>
  <c r="I31" i="1" s="1"/>
  <c r="C31" i="1"/>
  <c r="D30" i="1"/>
  <c r="C30" i="1"/>
  <c r="F31" i="1" l="1"/>
  <c r="F30" i="1"/>
  <c r="I30" i="1"/>
  <c r="F29" i="1"/>
  <c r="I29" i="1"/>
  <c r="F27" i="1"/>
  <c r="I27" i="1"/>
  <c r="F28" i="1"/>
  <c r="I28" i="1"/>
  <c r="F26" i="1" l="1"/>
  <c r="I26" i="1"/>
  <c r="F25" i="1"/>
  <c r="I25" i="1"/>
  <c r="F24" i="1"/>
  <c r="I24" i="1"/>
  <c r="F23" i="1" l="1"/>
  <c r="I23" i="1"/>
  <c r="F22" i="1"/>
  <c r="I22" i="1"/>
  <c r="F21" i="1"/>
  <c r="G79" i="1" s="1"/>
  <c r="I21" i="1"/>
  <c r="F6" i="1" l="1"/>
  <c r="F7" i="1"/>
  <c r="F8" i="1"/>
  <c r="F10" i="1"/>
  <c r="F11" i="1"/>
  <c r="F12" i="1"/>
  <c r="F15" i="1"/>
  <c r="F18" i="1"/>
  <c r="F19" i="1"/>
  <c r="F20" i="1"/>
  <c r="I6" i="1"/>
  <c r="I7" i="1"/>
  <c r="I8" i="1"/>
  <c r="I10" i="1"/>
  <c r="I11" i="1"/>
  <c r="I12" i="1"/>
  <c r="I15" i="1"/>
  <c r="I18" i="1"/>
  <c r="I19" i="1"/>
  <c r="I20" i="1"/>
  <c r="C17" i="1" l="1"/>
  <c r="D17" i="1"/>
  <c r="D16" i="1"/>
  <c r="C16" i="1"/>
  <c r="I17" i="1" l="1"/>
  <c r="F17" i="1"/>
  <c r="I16" i="1"/>
  <c r="F16" i="1"/>
  <c r="D14" i="1"/>
  <c r="F14" i="1" l="1"/>
  <c r="I14" i="1"/>
  <c r="D13" i="1"/>
  <c r="I13" i="1" l="1"/>
  <c r="F13" i="1"/>
  <c r="D9" i="1"/>
  <c r="I9" i="1" l="1"/>
  <c r="F9" i="1"/>
  <c r="F78" i="1" s="1"/>
  <c r="C78" i="1"/>
  <c r="D78" i="1"/>
  <c r="I78" i="1" l="1"/>
</calcChain>
</file>

<file path=xl/sharedStrings.xml><?xml version="1.0" encoding="utf-8"?>
<sst xmlns="http://schemas.openxmlformats.org/spreadsheetml/2006/main" count="1262" uniqueCount="496">
  <si>
    <t xml:space="preserve">Différence Entre Logiciel et Versement Livreur </t>
  </si>
  <si>
    <t>Livreur</t>
  </si>
  <si>
    <t>Date</t>
  </si>
  <si>
    <t>T.Logiciel</t>
  </si>
  <si>
    <t>Versement</t>
  </si>
  <si>
    <t>Charge</t>
  </si>
  <si>
    <t>Différence</t>
  </si>
  <si>
    <t>Remise %</t>
  </si>
  <si>
    <t>T.Remise</t>
  </si>
  <si>
    <t>Total</t>
  </si>
  <si>
    <t>Observation</t>
  </si>
  <si>
    <t>REDA - 03</t>
  </si>
  <si>
    <t>WALID - 01</t>
  </si>
  <si>
    <t>RAYAN - 01</t>
  </si>
  <si>
    <t>RAHIM -  MM</t>
  </si>
  <si>
    <t>RAHIM - 01</t>
  </si>
  <si>
    <t>REDA - MM</t>
  </si>
  <si>
    <t>RAHIM - MM</t>
  </si>
  <si>
    <t>Transport</t>
  </si>
  <si>
    <t>BRAHIM - MM</t>
  </si>
  <si>
    <t>BELKACEM TRANSPORT</t>
  </si>
  <si>
    <t>CONDOR - MM</t>
  </si>
  <si>
    <t>RAYAN - MM</t>
  </si>
  <si>
    <t>ESSENCE</t>
  </si>
  <si>
    <t>TOUFIK BALILI PRIX</t>
  </si>
  <si>
    <t>HAYTHAM - MM</t>
  </si>
  <si>
    <t>BELKACEM + SILOFANE</t>
  </si>
  <si>
    <t>ASSURANCE</t>
  </si>
  <si>
    <t>GASOIL</t>
  </si>
  <si>
    <t>BELKACEM TRANSPORT + 120 ROULEAUX IMPRIMANT</t>
  </si>
  <si>
    <t>TOUFIK - MM</t>
  </si>
  <si>
    <t>BRAHIM - 01</t>
  </si>
  <si>
    <t>HAYTHAM - 01</t>
  </si>
  <si>
    <t>BELKACEM TRANSPORT + 900 ROULEAUX IMPRIMANT</t>
  </si>
  <si>
    <t>TOUFIK - 01</t>
  </si>
  <si>
    <t>MANQUE 990</t>
  </si>
  <si>
    <t>HAYTHEM - 01</t>
  </si>
  <si>
    <t>GASOIL + LAVACHE</t>
  </si>
  <si>
    <t>WASIM - MM</t>
  </si>
  <si>
    <t xml:space="preserve">DATE </t>
  </si>
  <si>
    <t>TOTAL VERSE</t>
  </si>
  <si>
    <t>T. Command</t>
  </si>
  <si>
    <t>T. Logiciel</t>
  </si>
  <si>
    <t>Belkacem Transport</t>
  </si>
  <si>
    <t>HAYTHEM - MM</t>
  </si>
  <si>
    <t>Swiglass</t>
  </si>
  <si>
    <t>Gasoil vespa wassim</t>
  </si>
  <si>
    <t>Belkacem Transport + Vespe</t>
  </si>
  <si>
    <t>Vidange Ford + filter + Papier Imp</t>
  </si>
  <si>
    <t xml:space="preserve">Pneu ivico </t>
  </si>
  <si>
    <t>800 ARAABA a la prochaine livraison</t>
  </si>
  <si>
    <t>Belkacem transport + Vespe GASOIL</t>
  </si>
  <si>
    <t>Belkas Trans</t>
  </si>
  <si>
    <t>LAVACHE IVICO</t>
  </si>
  <si>
    <t>Gasoil</t>
  </si>
  <si>
    <t>Rouleaux Papier Imprimant</t>
  </si>
  <si>
    <t>100 DA Bon Livraison</t>
  </si>
  <si>
    <t>8000 Rouleaux Imprimant, 980 Retour</t>
  </si>
  <si>
    <t xml:space="preserve">820 Credit Boughrassa, 4800 FORD, 35289 Bouharb Payé </t>
  </si>
  <si>
    <t>MOHAMED</t>
  </si>
  <si>
    <t>1000 DA RAHIM + 4000 WASSIM</t>
  </si>
  <si>
    <t>2000 DA Faysal, 28000 Crédit Moh</t>
  </si>
  <si>
    <t>560 credit kheridine, 1150 RETOUR, 450 DIFF</t>
  </si>
  <si>
    <t>5000 DFM + 194 Diff + 2000 Credit + 4780 RETOUR</t>
  </si>
  <si>
    <t>GASOIL, 324 DIFF</t>
  </si>
  <si>
    <t>28000 Moh Payé, 7787 Crédit</t>
  </si>
  <si>
    <t>2000 payé, 500 DA TOUFIK SEL3A, 405 RETOUR, 1100 GASOIL, 49175 ZIARI GROS</t>
  </si>
  <si>
    <t>250 Bon pour, 1900 achat rayan</t>
  </si>
  <si>
    <t>800 Crédit</t>
  </si>
  <si>
    <t>1000 DA Toufik, 11390 Retour</t>
  </si>
  <si>
    <t>55 Bnwali bidoun</t>
  </si>
  <si>
    <t>Gasoil, 5190 Retour</t>
  </si>
  <si>
    <t>1517 + 800 Credit moh</t>
  </si>
  <si>
    <t>1000 DA TOUFIK PAYE, 22545 Retour, MODIF PRIX, 3 Javel retour rachid</t>
  </si>
  <si>
    <t>2500 DFM, 8530 Retour</t>
  </si>
  <si>
    <t>800 Gasoil, 5380 Retour ferme</t>
  </si>
  <si>
    <t>4260 DA Retour, 40 da djoulem</t>
  </si>
  <si>
    <t>EMPANE</t>
  </si>
  <si>
    <t>500 Gasoil, 4905 Retour</t>
  </si>
  <si>
    <t>182120 Credit boughrassa, 15320 Retour</t>
  </si>
  <si>
    <t>2500 DFM, 11155 Retour 2 ferme</t>
  </si>
  <si>
    <t>52911 Crédit</t>
  </si>
  <si>
    <t>Belkacem transport, 920 Retour</t>
  </si>
  <si>
    <t>1225 Retour</t>
  </si>
  <si>
    <t>6080 Retour</t>
  </si>
  <si>
    <t>Crédit mohamed paye, reste 2000</t>
  </si>
  <si>
    <t>RETOUR 2 FERME</t>
  </si>
  <si>
    <t>Gasoil + 6950 Crédit family damous</t>
  </si>
  <si>
    <t>2000 DA MOHAMED PAYE, 8300 Vespa fethi</t>
  </si>
  <si>
    <t>1200 Gasoil, 2000 lavache, 1200 Huile, 11510 FERME A DEMAIN</t>
  </si>
  <si>
    <t>Belkas Trans, + 4800 DIFFUSSEUR</t>
  </si>
  <si>
    <t>435 Difference, 200 da toufik</t>
  </si>
  <si>
    <t>73 Difference prix</t>
  </si>
  <si>
    <t>1100 matricule wassim, 700 FETHI</t>
  </si>
  <si>
    <t>TRANSPORT BELKASEM</t>
  </si>
  <si>
    <t>750 Gasoil, 4 ferme</t>
  </si>
  <si>
    <t>1800 Gasoil, 14000 Clark</t>
  </si>
  <si>
    <t>BELKAS TRANSPORT, 14040 CREDIT WAHAB GOURAYA</t>
  </si>
  <si>
    <t>RETOUR CARTON BICARBONET</t>
  </si>
  <si>
    <t>700 Crédit Moh, 180 Gasoil wassim</t>
  </si>
  <si>
    <t>6000 Houari ass boxer, 68674 DA 2 ferme + Retour, 200 DA Toufik payé</t>
  </si>
  <si>
    <t>17715 Farouk kares, 5900 Bureautique</t>
  </si>
  <si>
    <t xml:space="preserve">Belkacem, </t>
  </si>
  <si>
    <t>700 mohamed payé, 6000 da houari assurance</t>
  </si>
  <si>
    <t>condor 2426 diff</t>
  </si>
  <si>
    <t>440 da bureatique, 2000 da brahim, 405 rahim</t>
  </si>
  <si>
    <t>dawed lampard 11076, 2090 manque ?????, 3479 retour</t>
  </si>
  <si>
    <t>23590 Crédit rahma, 12220 retour</t>
  </si>
  <si>
    <t>stylo</t>
  </si>
  <si>
    <t>24005 rachid gros, 2b retour 2140, 2000 toufik</t>
  </si>
  <si>
    <t>8000 da dépannage</t>
  </si>
  <si>
    <t>DATE</t>
  </si>
  <si>
    <t xml:space="preserve">TOTAL </t>
  </si>
  <si>
    <t>LIVREUR</t>
  </si>
  <si>
    <t>T. COMMANDE</t>
  </si>
  <si>
    <t>T.LOGICIEL</t>
  </si>
  <si>
    <t>VERSEMENT</t>
  </si>
  <si>
    <t>CHARGE</t>
  </si>
  <si>
    <t>DEFF</t>
  </si>
  <si>
    <t>OBSERVATION</t>
  </si>
  <si>
    <t>MM - TOUFIK</t>
  </si>
  <si>
    <t>2000 da houri Iveco, 2040 retour</t>
  </si>
  <si>
    <t>01 - RAYAN</t>
  </si>
  <si>
    <t>5800 wassim vespa, 2975 retour</t>
  </si>
  <si>
    <t>03 - REDA</t>
  </si>
  <si>
    <t>TOTAL</t>
  </si>
  <si>
    <t>500 toufik, bougrassa versement 6440 da</t>
  </si>
  <si>
    <t>8049 happy bleu annuler, retour, 230 vaisselle c.vert + gandines</t>
  </si>
  <si>
    <t>belkas transport, 14040 wahab gouraya payé, 2070 retour</t>
  </si>
  <si>
    <t>4930 retour, vaisselle c.vert, grenadine</t>
  </si>
  <si>
    <t>980 différence, 17700 farouk payé</t>
  </si>
  <si>
    <t>5000 da belkas</t>
  </si>
  <si>
    <t>34135 crédit mohamed</t>
  </si>
  <si>
    <t xml:space="preserve">03 - REDA </t>
  </si>
  <si>
    <t>150 diff vaisselle, 900 glaciol</t>
  </si>
  <si>
    <t>16140 retour fermé,</t>
  </si>
  <si>
    <t>500 Gasoil</t>
  </si>
  <si>
    <t>22343 reste mohamed</t>
  </si>
  <si>
    <t>85 vaisselle c.vert</t>
  </si>
  <si>
    <t>18494 rahma, 15000 la famille, 3000 abas</t>
  </si>
  <si>
    <t>2000 boxer fisal, 1000 gasoil</t>
  </si>
  <si>
    <t>50 da zyada, crédit payé</t>
  </si>
  <si>
    <t>1460 vente au dépôts</t>
  </si>
  <si>
    <t>300 ABAS PAYE, 5550 électricité, 4000 Clark</t>
  </si>
  <si>
    <t>gasoil, 3975 retour</t>
  </si>
  <si>
    <t>950 vente 10L Marseille, 1000 da gasoil</t>
  </si>
  <si>
    <t>16020 Lyn, 70215 GM, 500 Gasoil</t>
  </si>
  <si>
    <t>1464 retour, 2850 Hocine Nador, 950 vente dépôts</t>
  </si>
  <si>
    <t>5000 da vers Miloud ouhlima</t>
  </si>
  <si>
    <t>1 fermé</t>
  </si>
  <si>
    <t>155 Toufik, 33010 boughrassa crédit</t>
  </si>
  <si>
    <t>1764 Reda, + 5000 da Reda</t>
  </si>
  <si>
    <t>100000 Abdou, 100 da retour vaisselle 650</t>
  </si>
  <si>
    <t>10000 farouk kares, 85 vaisselle, 3120 retour</t>
  </si>
  <si>
    <t>155 da toufik payé + 380 acompte, 695 différence prix kheridine</t>
  </si>
  <si>
    <t>40000 Rahim, 1000 gasoil, 1000 Faysal Iveco, 1180 retour</t>
  </si>
  <si>
    <t>50000 Crédit moh</t>
  </si>
  <si>
    <t>37479 retour, 3 fermé, 25000 vespa</t>
  </si>
  <si>
    <t>1890 retour, 2100 achat faress</t>
  </si>
  <si>
    <t>1000 gasoil, 2304 retour</t>
  </si>
  <si>
    <t>2025 dawed, 2100 amine</t>
  </si>
  <si>
    <t>4290 la famille, 17890 rahma</t>
  </si>
  <si>
    <t>2850 Hocine Nador payé, 100 chiffon</t>
  </si>
  <si>
    <t>35 * 6 vaisselle grenadine, (4290 la famille, 17890 rahma) payé, 2000 amine payé, 235 vaiss 2l vendu</t>
  </si>
  <si>
    <t>670 diff de prix, 138 toufik</t>
  </si>
  <si>
    <t>1000 da gasoil</t>
  </si>
  <si>
    <t>1000 GASOIL, 5559 sup amire mini marcket crédit, 13693 retour</t>
  </si>
  <si>
    <t>3910 houari boxer, 3780 retour, 105 diff prix GM, 1200 toufik crédit, 12440 vers gm1</t>
  </si>
  <si>
    <t>405 retour, 435 vente au dépôts, 22950 + 11020 (Eco marché, Lyn marcket)</t>
  </si>
  <si>
    <t>400 diffuseur Faysal, 1245 retour, 1000 da toufik payé</t>
  </si>
  <si>
    <t>• LIVREE PAR RAHIM</t>
  </si>
  <si>
    <t>1000 Abdou gasoil, 500 GASOIL
• Livree par toufik</t>
  </si>
  <si>
    <t>5000 da belkas, 9470 wahab gouraya crédit</t>
  </si>
  <si>
    <t xml:space="preserve">8920 RETOUR, 170 VAISSELLE </t>
  </si>
  <si>
    <t>2270 RETOUR, 100 DIFF PRIX</t>
  </si>
  <si>
    <t>5000 DA REDA</t>
  </si>
  <si>
    <t>N.B</t>
  </si>
  <si>
    <t>5000 farouk kares, 4000 Faysal carton diffuseur, 1000 FARESS, 200 RAYAN GEL DOUCHE</t>
  </si>
  <si>
    <t>40000 khawa boharon, 6510 kousayla, 4385 retour fahad fermé</t>
  </si>
  <si>
    <t>320 changement prix</t>
  </si>
  <si>
    <t>1000 gasoil</t>
  </si>
  <si>
    <t>200 da toufik, 5000 DA BRAHIM</t>
  </si>
  <si>
    <t>2000 DA MOHAMED CREDIT</t>
  </si>
  <si>
    <t>17730 mara3i, 13740 Abdelkrim balili, 3000 houari</t>
  </si>
  <si>
    <t>1000 da gasoil, 1464 retour</t>
  </si>
  <si>
    <t>6510 kousayla, 40000 khawa boharone PAYE, dawed 2025, 3000 VENTE DEPOS</t>
  </si>
  <si>
    <t>2000 da mohamed payé</t>
  </si>
  <si>
    <t>1000 gasoil, 8880 assurance, 13780 ag Menouar</t>
  </si>
  <si>
    <t>1500 parallélisme, 14505 proxy</t>
  </si>
  <si>
    <t>13740 Abdelkrim payé, 100000 Rahim, 2000 Abdou</t>
  </si>
  <si>
    <t>10265 crédit atlas douaouda, 8349 retour 1 fermé</t>
  </si>
  <si>
    <t>• livree par Abdou</t>
  </si>
  <si>
    <t>5560 amir mini marcket payé, 17925 GM family versement, 2000 rayan</t>
  </si>
  <si>
    <t>8050 fridi, 2670 retour</t>
  </si>
  <si>
    <t>5000 farouk, 13780 ag Menouar, 5279 boughrassa versement, 5000 DA REDA</t>
  </si>
  <si>
    <t>39738 reste mohamed</t>
  </si>
  <si>
    <t>12885 retour djamel kolea pas d'argent, 3000 électricien, 17500 imprimant, 10000 crédit farouk kares</t>
  </si>
  <si>
    <t>35 vaisselle, 805 retour</t>
  </si>
  <si>
    <t>39740 payé</t>
  </si>
  <si>
    <t>6150 2 frere crédit, 1410 retour</t>
  </si>
  <si>
    <t>2920 rahim</t>
  </si>
  <si>
    <t xml:space="preserve">5000 BELKAS </t>
  </si>
  <si>
    <t>9300 crédit</t>
  </si>
  <si>
    <t>21000 La famille, 810 retour</t>
  </si>
  <si>
    <t>6150 2 frère payé, 17730 mara3i payé, 5000 brahim</t>
  </si>
  <si>
    <t>9000 mohamed payé</t>
  </si>
  <si>
    <t>60 da scotch</t>
  </si>
  <si>
    <t>Belkas transport, 250 toufik</t>
  </si>
  <si>
    <t xml:space="preserve">240 diff prix, 1000 gasoil, 85 vaisselle </t>
  </si>
  <si>
    <t xml:space="preserve">1 diffusseur </t>
  </si>
  <si>
    <t>300 da mohamed payé, 5000 da zyada</t>
  </si>
  <si>
    <t>1000 gasoil, 170 vaisselle, atlas 10265, madjid city cabile 3000</t>
  </si>
  <si>
    <t>500 gasoil, 250 da toufik payé</t>
  </si>
  <si>
    <t>2000 da rahim, 1000 da faysal</t>
  </si>
  <si>
    <t xml:space="preserve">+ 250000 DA VERSEMENT </t>
  </si>
  <si>
    <t>2850 RETOUR, 85 CHANGEMENT PRIX</t>
  </si>
  <si>
    <t>2000 da faysal, 17700 retour, boughrassa 60310, bouharb 62460</t>
  </si>
  <si>
    <t>BELKAS TRANSPORT</t>
  </si>
  <si>
    <t>2000 faysal, 1000 toufik, 600 DA VENTE DEPOS</t>
  </si>
  <si>
    <t>TOTAL LIVRAISON</t>
  </si>
  <si>
    <t>T. Livreur</t>
  </si>
  <si>
    <t>Mohamed</t>
  </si>
  <si>
    <t>DIFF</t>
  </si>
  <si>
    <t>• versement 250000</t>
  </si>
  <si>
    <t>• 2000 DA TOUFIK
• 1085 retour</t>
  </si>
  <si>
    <t>• 600  gasoil
• 3000 da rayan
• 7070 retour 1 ferme</t>
  </si>
  <si>
    <t>• 225 semain Cherchell modification</t>
  </si>
  <si>
    <t>• 10000 farouk kares payé</t>
  </si>
  <si>
    <t>• 104275 versement, 
• Abdou 101000 , 
• WAHAB RESTE 500</t>
  </si>
  <si>
    <t>• 7015 retour 1 fermé</t>
  </si>
  <si>
    <t xml:space="preserve">• 6560 wahab gouraya
• 85 vaisselle </t>
  </si>
  <si>
    <t>• acompte
'total : E12+E13+E15+3275+E14'</t>
  </si>
  <si>
    <t>• 170 vaisselle grenadine
• crédit( 3405 hamza bniderjine,  7725 dawed lampard, 6149 la famille boumaza)
• 6925 retour 1 fermé</t>
  </si>
  <si>
    <t>• 20340 rahma
• 10250 la famille</t>
  </si>
  <si>
    <t>• Rayan 5000 da</t>
  </si>
  <si>
    <t>• 1000 Gasoil
• 120 saber ysalha</t>
  </si>
  <si>
    <t>• 1200 fouka shop ysalha
• 20229 crédit proxy
• 85 vaisselle grenadine
• 8340 retour</t>
  </si>
  <si>
    <t>• 100 modification</t>
  </si>
  <si>
    <t>• 5000 versement miloud ouhlima
• 190 vente depos
• 14000 clark</t>
  </si>
  <si>
    <t>• 5000 mini marcket crédit
• 2660 retour</t>
  </si>
  <si>
    <t>• 200 lampe ford
• 1000 gasoil
• 61630 retour eco marché
• 11580 crédit lyn marcket</t>
  </si>
  <si>
    <t>• 1000 reda chrino</t>
  </si>
  <si>
    <t>• brahim 1000</t>
  </si>
  <si>
    <t>• 435 lave sole
• 9375 retour</t>
  </si>
  <si>
    <t>• 62460 boharb payé
• 125270 versement boughrassa</t>
  </si>
  <si>
    <t>• 4050 retour fermé
• 410 client ysalha</t>
  </si>
  <si>
    <t>• 3405 vers hamza bni derjine
• 450 vente depos</t>
  </si>
  <si>
    <t>• 500 Glaciol, 1000 Gasoil
• 6000 crédit farouk kares
• 1015 = lavesole 6*145=870
• 145 ysalha client)
• 10315 retour 1 ferme</t>
  </si>
  <si>
    <t>• 1000 da prise par wassim le 06/11
• DGR KHERDDINE (-43470 crédit, +20125 versement crédit kdim)
• 14140 retour</t>
  </si>
  <si>
    <t>• 1305 = Lave-Sol x 9</t>
  </si>
  <si>
    <t>• 500 da wahab crédit payé le 02/11</t>
  </si>
  <si>
    <t>• Reste 36046</t>
  </si>
  <si>
    <t>• 290 = 2 lave sole
• 1000 da gasoil
• 2025 retour</t>
  </si>
  <si>
    <t>• 3240 retour
• 910 Bureautique brahim</t>
  </si>
  <si>
    <t>• 2000 retour
• Lave sole 5*145=725
• 75 changemen prix djelaili
• 1000 gasoil</t>
  </si>
  <si>
    <t>• 950 = 10 L Lavende vente depos</t>
  </si>
  <si>
    <t>• 36046+261456-50000 = 247502
• -50000 Vanne
• Versement 224000
• Reste: 23500.</t>
  </si>
  <si>
    <t>• 100 Batterie Vespa Faysal</t>
  </si>
  <si>
    <t>• 22127 Retour, La famille, Yacine Khawa
• 22000 Rahma Crédit
• Lave-Sole = 8*145= 1160</t>
  </si>
  <si>
    <t>• Lave-Sole = 6*145 = 870</t>
  </si>
  <si>
    <t>• 5000 Hani Chauffeur Avance</t>
  </si>
  <si>
    <t>• 23500 le 10-11 Payé</t>
  </si>
  <si>
    <t>• 1500 Houari ford rendu (payé par rahim)
• 1000 Gasoil
• 230 retour
• 85 vaisselle grenadine</t>
  </si>
  <si>
    <t>• dawed gros a demain
• 5890 retour rachid gros
• 50000 2B Crédit</t>
  </si>
  <si>
    <t>• 850 Glacion
• 145 lave-sole
• Sup Fethi a livré demain</t>
  </si>
  <si>
    <t>• - 1000 wassim avance
• 11580 Lyn marcket crédit payé
• 10000 Reda Boxer
• 7000 Da Clarck</t>
  </si>
  <si>
    <t>• 8830 retour 1 fermé
• 7 Lave-Sole = 1150</t>
  </si>
  <si>
    <t>• Lave-Sole 145x3 = 435
• 2315 retour</t>
  </si>
  <si>
    <t>• 145 lave-sole</t>
  </si>
  <si>
    <t>• 4744 versement gm1
• -5400 reda boxer + procy</t>
  </si>
  <si>
    <t>• Reste 11000</t>
  </si>
  <si>
    <t>• 2000 Radioteur boxer
• 290 Lave-Sole
• 1950 retour</t>
  </si>
  <si>
    <t>• 3000 Joint cache culbuteur ford
• Lave-Sole: 145*2=290
• 700 Toufik
• hidech retour</t>
  </si>
  <si>
    <t>• 6 Lave-Sole</t>
  </si>
  <si>
    <t>• 1500 Houari Le 11/11 Rendu
• 27025 Boughrassa Versement
• 6560 wahab gouraya
• -5000 da reda avance</t>
  </si>
  <si>
    <t>• 11000 le 13-11 Payé</t>
  </si>
  <si>
    <t>• 8800 Cardon
• 3500 Bloc
• 1000 Gasoil
• 1464 retour</t>
  </si>
  <si>
    <t>• Lave-Sole x 2
• 45710 retour raho cominel</t>
  </si>
  <si>
    <t>• 1000 Gasoil</t>
  </si>
  <si>
    <t>• - 10000 Vespa
• - 43000 Acompte Objectif
• 1000 Wassim rendu le 11/11
• 6000 farouk kares payé
• - 2000 hani Avance</t>
  </si>
  <si>
    <t>• Lave-Sol x 1
• 350 Toufik total = 1050
• 1150 retour</t>
  </si>
  <si>
    <t>• 27604 Crédit Familly Shop Damous</t>
  </si>
  <si>
    <t>• 7000 Da Clarck</t>
  </si>
  <si>
    <t>• 5000 Hcen Kabyle Payé
• 5600 Retour</t>
  </si>
  <si>
    <t>• -28719 Rahma
• -37501 NASEREDINE LOMPERD
• 20921 retour la famille rendu
• 250 Lampe brahim</t>
  </si>
  <si>
    <t>• Lave-Sole x 2 
• Smail DGR non payé
• 3400 Houari
• 3400 Faysal</t>
  </si>
  <si>
    <t xml:space="preserve">• - 4000 da essence wassim
• - 3000 Hani Avance
• + 2000 da Verse Baazize Balili
• + 600 Vente Depos
• - 500 da Rahim
• + 35000 2B
• + 20230 Proxy Dwawda </t>
  </si>
  <si>
    <t>• 5895 Retour AG ATMAN FOUKA</t>
  </si>
  <si>
    <t>• 480 modification prix rachid.</t>
  </si>
  <si>
    <t>• 145 Lave-Sole
• 200 Bon Pour
• 2000 Retour Carton 3 L</t>
  </si>
  <si>
    <t>• 32000 NASEREDINE LOMPERD R 5500
• -650 Rahim Huille Sango
• -2000 Wassim
• + 13575 DGR Rahou
• - 3300 Rahim</t>
  </si>
  <si>
    <t>• Reste 20000 da</t>
  </si>
  <si>
    <t>• 85 Vaisselle
• 80 Les Orange Changement Prix
• 1000 Gasoil
• 8400 Retrou 1 Ferme 1 a Demain
• 11125 Retour Manque (4,5 marseille, poudre 300, 3L rose)</t>
  </si>
  <si>
    <t>• 305 Gm Versement.
• 650 Brahim Huile Sango
• 290 Lave-Sol
• 3100 Ali-Birare Rendu
• 19675 Lyn Crédit
• 14230 retour</t>
  </si>
  <si>
    <t>• -900 Da Glaciol Houari
• +3000 Amir Mini Marcket
• 7000 Clarck</t>
  </si>
  <si>
    <t>• 20000 le 19-11 Payé</t>
  </si>
  <si>
    <t>• 10480 Retour 2 Fermé
• 900 = 10 poudre 350g</t>
  </si>
  <si>
    <t>• 3430 RETOUR
• 1000 GASOIL
• 25350 BOHARB CREDIT
• + 6600 POUDRE (3400+3200)
• + 3535 VERS BOUGHRASSA</t>
  </si>
  <si>
    <t>• 74665 Crédit SUP NEDJARI BEKACEM</t>
  </si>
  <si>
    <t>• Reste 548</t>
  </si>
  <si>
    <t>• 15575 Pas d'argent
• 1200 Retour</t>
  </si>
  <si>
    <t>• 14510 Vers DGR KHERDDINE</t>
  </si>
  <si>
    <t>• 550 Le 22-11 Payé</t>
  </si>
  <si>
    <t>• 7855 retour 1 pas d'argent koudayl</t>
  </si>
  <si>
    <t>• Livrée par Abdou</t>
  </si>
  <si>
    <t>• 74660 NEDJARI BEKACEM PAYE</t>
  </si>
  <si>
    <t>• 27086 La Famille Crédit
• 405 retour 1 x 3L</t>
  </si>
  <si>
    <t>• 1000 Gasoil
• 1000 Reda
• 1725 chiffon retour</t>
  </si>
  <si>
    <t>• Scotch GM
• Sac Poubelle
• Film Eterable</t>
  </si>
  <si>
    <t>• 1464 N.L Vaisselle C.vert
• 255 vaisselle grenadine
• 145 Amine</t>
  </si>
  <si>
    <t>• 4930 retour
• 1000 toufik</t>
  </si>
  <si>
    <t>• 100 Modification prix</t>
  </si>
  <si>
    <t>• 2000 Faysal
• 30000 Free Camion par rahim</t>
  </si>
  <si>
    <t>• 290 x 2 Lave-sole
• 1100 gasoil
• 8600 Retour 1 Fermé</t>
  </si>
  <si>
    <t xml:space="preserve">• 1920 retour </t>
  </si>
  <si>
    <t>• 1000 gasoil</t>
  </si>
  <si>
    <t>• 15780 Versement gm
• 145 Amine payé</t>
  </si>
  <si>
    <t>• 5370 WAHAB</t>
  </si>
  <si>
    <t>• 2150 Retour
• 145 Lave-Sol
• 1000 Gasoil
• - 1300 Rahim</t>
  </si>
  <si>
    <t>• 1800 retour</t>
  </si>
  <si>
    <t>• 25350 verse Bouharb 
• 8705 verse Boughrassa
• -2000 da rahim
• 5000 Vers wahab gouraya
• -20000 da reda</t>
  </si>
  <si>
    <t>• 19525 Retour</t>
  </si>
  <si>
    <t>• 800 Ford houari</t>
  </si>
  <si>
    <t>• + 4325 Versement Kheredine par toufik</t>
  </si>
  <si>
    <t>• 1000 Gasoil
• 850 Glasiol
• 22185 Retour</t>
  </si>
  <si>
    <t>AMINE</t>
  </si>
  <si>
    <t>• 145 Lave-Sol
• 485 Retour</t>
  </si>
  <si>
    <t>TOUFIK</t>
  </si>
  <si>
    <t>• 20220 Retour La Famille</t>
  </si>
  <si>
    <t>REDA</t>
  </si>
  <si>
    <t>• Lave-Sol x 3 = 435
• 5000 Belkas transport</t>
  </si>
  <si>
    <t>VERS. CREDIT</t>
  </si>
  <si>
    <t>• 4000 Othman Minari Par Rahim</t>
  </si>
  <si>
    <t>ACCOMPTE</t>
  </si>
  <si>
    <t>CREDIT</t>
  </si>
  <si>
    <t>• 5475 Retour 1 Fermé
• 800 Mécanicien</t>
  </si>
  <si>
    <t>• 4235 Retour</t>
  </si>
  <si>
    <t xml:space="preserve">• 145 Lave-Sol </t>
  </si>
  <si>
    <t>• 15000 2B Versement</t>
  </si>
  <si>
    <t>• - 1500 da Khaled Connexion</t>
  </si>
  <si>
    <t>• - 5800 Da Khaled MM Vespa
• - 200 da Khaled Essence
• + 580 vente dépôts</t>
  </si>
  <si>
    <t>• 25800 Reste</t>
  </si>
  <si>
    <t>• 3566 Différence de prix</t>
  </si>
  <si>
    <t>• 1000 Gasoil
• 1125 Différence de prix</t>
  </si>
  <si>
    <t>• 900 Glaciol
• 100 Bétadine</t>
  </si>
  <si>
    <t>• + 20450 Versement GM
• + 2000 Amire mini marcket</t>
  </si>
  <si>
    <t>• 1700 Vente Dépôts</t>
  </si>
  <si>
    <t>• 8286 retour 2 fermé</t>
  </si>
  <si>
    <t>• 1770 retour 1 x 4.5 Marseille</t>
  </si>
  <si>
    <t>• 1000 Gasoil
• 9995 Retour</t>
  </si>
  <si>
    <t>• 15908 Othman Minari Par Abdou (N.Obs)</t>
  </si>
  <si>
    <t>• -27300 Boughrassa Crédit</t>
  </si>
  <si>
    <t>• +340 vente dépôts</t>
  </si>
  <si>
    <t>• Reste 200 da</t>
  </si>
  <si>
    <t>• 250 Glaciol
• 810 Retour</t>
  </si>
  <si>
    <t>• -290 x 2 Lave-Sol
• -255 x 3 Carton Vaisselle Grenadine 
• -1000 Gasoil</t>
  </si>
  <si>
    <t>• 405 Modification prix smain Cherchell</t>
  </si>
  <si>
    <t>• - 48878 Crédit El Madina Par Toufik
• - 49565 Dgr Kheredine Par Amine
• - 8050 Crédit Farouk Kares Par Amine
• -2860 Crédit Raho</t>
  </si>
  <si>
    <t>• 200 DA le 06-12 Payé
• Reste 1895</t>
  </si>
  <si>
    <t>• 1000 Glaciol
• 8460 Retour Kousayla</t>
  </si>
  <si>
    <t>• - 85 vaisselle grenadine</t>
  </si>
  <si>
    <t>• +5501 Naserredint lomperd
• +14675 Lyn Marcket</t>
  </si>
  <si>
    <t>• - 150 Stylo + Scotch</t>
  </si>
  <si>
    <t>• 6100 Retour 1 Fermé</t>
  </si>
  <si>
    <t>• 2105 Retour (1 x 3L + 5 L.M 2,5)
• 145 Lave-Sol
• 60 da différence de prix Vaisselle 650</t>
  </si>
  <si>
    <t>• -2000 Gasoil
• -950 Glaciol
• -450 Huile
• -1000 Main-doeuvre
• -100 3akri</t>
  </si>
  <si>
    <t>• -24000 NASEREDINE LOMPERD (Toufik)</t>
  </si>
  <si>
    <t>• Reste 30657 + 1895 Le 07/12</t>
  </si>
  <si>
    <t>• 12795 Retour 1 ferme + 1,5 Marseille</t>
  </si>
  <si>
    <t>• 40006 Retour 2 ferme</t>
  </si>
  <si>
    <t>• 24000 NASEREDINE LOMPERD (Toufik)</t>
  </si>
  <si>
    <t>• -57600 Crédit 2B Par Toufik
• -8000 SUP RAHO COUMINEL Par Toufik</t>
  </si>
  <si>
    <t>• -50 Trombones Brahim
• -1200 Radiateur Boxer Abdou
• -200 Clef Faysal</t>
  </si>
  <si>
    <t>• 191185 + 32552 - 5000 = 173737
• 32552 Le 09/12 Payé
• -5000 da La Vanne</t>
  </si>
  <si>
    <t>• 3065 Retour
    • 2 x 4,5L client pas d'argent
    • 1 Fermé</t>
  </si>
  <si>
    <t>• 85 changement prix gm 10 Litre</t>
  </si>
  <si>
    <t>• 3805 Retour (Matal3osh f Camion)</t>
  </si>
  <si>
    <t>• +12395 Versement GM
• +57600 Versement 2B Par Amine
• +3000 Madjid city kabyle
• +5000 La famille par abdou</t>
  </si>
  <si>
    <t>• -3600 Brahim</t>
  </si>
  <si>
    <t>• -2000 Bouchachi tipaza par reda
• -3000 Mini Marcket Par Amine</t>
  </si>
  <si>
    <t>• -4000 Essence Khaled Vespa
• -130000 Morad Khemisti
• -500 DA Fayçal Anti-fuit</t>
  </si>
  <si>
    <t>• 25800 Le 03/12 Payé</t>
  </si>
  <si>
    <t>• 4050 Retour 2 Fermé
• 3795 Non Chargé f Camion
• -185 Kenzi Ysalha</t>
  </si>
  <si>
    <t>• 250 Glaciol 
• 430 Retour 2 x 1,5 Lavande</t>
  </si>
  <si>
    <t>• -1000 Gasoil</t>
  </si>
  <si>
    <t>• +9220 Versement Boughrassa (Toufik)
• +4470 Versement Wahab Gouraya (Reda)
• +5000 Versement La famille (Abdou)</t>
  </si>
  <si>
    <t>• -10000 Walid Zioui</t>
  </si>
  <si>
    <t>• -5770 Crédit Wahab Gouraya (Reda)</t>
  </si>
  <si>
    <t>• -23655 Reste</t>
  </si>
  <si>
    <t>• -1770 Carton 4.5 Rendu par Client
• 32825 Retour DGR Djamel Pas D'argent</t>
  </si>
  <si>
    <t>• -300 Glaciol
• 11076 Retour El Madina Pas D'argent</t>
  </si>
  <si>
    <t>• +8000 Raho cominel (Toufik)
• +8050 Farouk Kares (Amine)</t>
  </si>
  <si>
    <t>• -6790 Walid Zioui</t>
  </si>
  <si>
    <t>• -1000 Faysal Sog (Amine)</t>
  </si>
  <si>
    <t>• 23655 Le 13-12 Versement 16180
• Reste 7475</t>
  </si>
  <si>
    <t>• 2865 Retour 1 Fermé
• 250 Mécanicien Boxer</t>
  </si>
  <si>
    <t>• 2000 Da DFM</t>
  </si>
  <si>
    <t>• 12190 Vaisselle 4L Non Chargé, 1 Fermé</t>
  </si>
  <si>
    <t>• 27000 Versement Family Shop Damous (Reda)</t>
  </si>
  <si>
    <t xml:space="preserve">• -150000 Versement Topsil </t>
  </si>
  <si>
    <t>• +7475 Le 14/12 Payé</t>
  </si>
  <si>
    <t>• 10965 Retour 2 Pas d'argent</t>
  </si>
  <si>
    <t>• -480 Othman minari vaisselle 1,25
• -550 Huile Boxer
• -220 Toufik
• 4755 Retour 3L Aloe-Verra</t>
  </si>
  <si>
    <t>• 4025 A Demain
• 1770 Retour 4.5 L Marseille
• 1000 Gasoil
• +73685 MM Livré</t>
  </si>
  <si>
    <t>• +5000 Verse DGR Hakim Rahma (Toufik)</t>
  </si>
  <si>
    <t>• -200 Faysal
• -1000 Reda
• -10000 Hani</t>
  </si>
  <si>
    <t>• -25888 El Mara3i (Toufik)</t>
  </si>
  <si>
    <t>• 1750 Rendu Par Houari
• 10000 Clarck</t>
  </si>
  <si>
    <t>• Reste 410</t>
  </si>
  <si>
    <t>• +10050 Vente Sup El Rahma
• 1620 Retour 1 fermé</t>
  </si>
  <si>
    <t>• 21595 Retour
    • 16995 Fermé
    • 10L x 3 Rendu par client
    • 3L x 4 Avari
• -280 Toufik
• +46000 Dgr Raho</t>
  </si>
  <si>
    <t>• +4025 Le 15/12 Livrée</t>
  </si>
  <si>
    <t xml:space="preserve">• -850 Crédit DGR Raho </t>
  </si>
  <si>
    <t>• -500 Rahim Par Brahim
• -1500 Rahim Flexy Par Amine</t>
  </si>
  <si>
    <t>• 400 Le 16/12 Payé</t>
  </si>
  <si>
    <t>• 3000 Retour 10 L retour par client</t>
  </si>
  <si>
    <t>• +3000 Amire Mini Marcket (Amine)
• +20809 GM (Toufik)
• +2000 Bouchachi Payé (Reda)</t>
  </si>
  <si>
    <t>• -15723 Crédit Lyn Marcket</t>
  </si>
  <si>
    <t>• Khaled garde-boue vespa
• +400 vente depos</t>
  </si>
  <si>
    <t>• 210000 Prise par rahim</t>
  </si>
  <si>
    <t>• 690 Retour non prise par client
    • 1 x 3L
    • 3 x L.main 400</t>
  </si>
  <si>
    <t>• +3330 Versement Boughrassa</t>
  </si>
  <si>
    <t>• 4000 da Toufik
• 13600 Wassim</t>
  </si>
  <si>
    <t>• 4200 Fethi Vespa
• 2000 Clark</t>
  </si>
  <si>
    <t>• 400 1 x 3L Avari</t>
  </si>
  <si>
    <t>• 300 Glaciol
• 2025 Retour 1 x 3L Non Chargé</t>
  </si>
  <si>
    <t>• 60 modification prix EL MAHAM</t>
  </si>
  <si>
    <t>• 26325 Versement DGR KHERDDINE (Toufik)
• 1000 Versement Faysal Sog</t>
  </si>
  <si>
    <t>• -2000 Faysal DFM</t>
  </si>
  <si>
    <t>• 800 da zyada</t>
  </si>
  <si>
    <t>• 13230 Retour
    • Kousayla pas d'argent
    • Talal Fermé</t>
  </si>
  <si>
    <t>• 445 retour = 1 x bicarbonat non chargé
• -20000 Radiateur eau boxer
• -1000 Gasoil</t>
  </si>
  <si>
    <t>• Les Charges:
    • 600 2 x entie fuit
    • 850 Glaciol
    • 1700 Durite
    • 150 Tournevis
    • 700 Gasoil
• 25046 Retour Non Livrée En Pane</t>
  </si>
  <si>
    <t>• 5770 Versement Wahab Gouraya</t>
  </si>
  <si>
    <t>• -9600 Crédit Boughrassa</t>
  </si>
  <si>
    <t>• 8235 Retour 1 Fermé
    • 5170 Fermé
    • 3065 Rendu par client</t>
  </si>
  <si>
    <t xml:space="preserve">• 850 Retour 
• 2 x 1.5 + 1 3L Noir Non prise par client
• -145 Lave-Sole </t>
  </si>
  <si>
    <t xml:space="preserve">• -2000 Faysal </t>
  </si>
  <si>
    <t>• -29830 La famille
• -15435 El Rahma</t>
  </si>
  <si>
    <t>• -1500 Khaled Vespa</t>
  </si>
  <si>
    <t>• -10000 Reste</t>
  </si>
  <si>
    <t>• 8595 Retour
    • 4995 Fermé
    • 3595 Ponge retour par client</t>
  </si>
  <si>
    <t>• 256 changement prix 2b
• 22913 A demain SUP DAOUADI
• 200 Toufik</t>
  </si>
  <si>
    <t>• 15500 Rahma Payé</t>
  </si>
  <si>
    <t>• -1000 da reda</t>
  </si>
  <si>
    <t>• 14000 Ford sifou par rahim</t>
  </si>
  <si>
    <t>• -8000 Joint de culasse
• +10000 le 23/12 Payé</t>
  </si>
  <si>
    <t>• 5475 Retour par client GM</t>
  </si>
  <si>
    <t>• 2040 Retour Fermé
• -500 Gasoil
• -145 Lave-SOL</t>
  </si>
  <si>
    <t>• +23415 Versement GM</t>
  </si>
  <si>
    <t>• -18000 Reda</t>
  </si>
  <si>
    <t>• 8860 Manque 1,5, 4,5 Lavand
• 960 Rendu par client
• 500 Gasoil</t>
  </si>
  <si>
    <t>• 2670 Manque 1,5
• 1500 Vulganisateur + Gasoil</t>
  </si>
  <si>
    <t>• 15560 Versement Boughrassa (toufik)</t>
  </si>
  <si>
    <t>• -500 Faysal</t>
  </si>
  <si>
    <t>• 1000000 Prise Par LIFE</t>
  </si>
  <si>
    <t>• 300 Koulab
• 300 Glaciol
• 510 Retour Manque Assoup bleu</t>
  </si>
  <si>
    <t xml:space="preserve">• 10000 La Famille (Abdou) </t>
  </si>
  <si>
    <t>• -1000 Faysal</t>
  </si>
  <si>
    <t>• -3000 Crédit Farouk kares (Amine)</t>
  </si>
  <si>
    <t>• Reste: 4769</t>
  </si>
  <si>
    <t>• -500 Gasoil
• 1116 Retour 1 Fermé
• 3320 Non chargé</t>
  </si>
  <si>
    <t>• 500 Gasoil
• 85930 Retour Par Client (10L, Vaisselle)</t>
  </si>
  <si>
    <t>• 6300 Manque non chargé f camion
• 1000 Gasoil</t>
  </si>
  <si>
    <t>• +400 da rendu par houari koulab 300 da</t>
  </si>
  <si>
    <t>• 4500 Le 28-12 Payé, 210 L.rincage retour</t>
  </si>
  <si>
    <t>• 5940 Retour 2 Fermé
• 1020 Rendu par client</t>
  </si>
  <si>
    <t>• 6400 Huile
• 1400 Vidange + Lavage</t>
  </si>
  <si>
    <t>• 500 Da Gasoil</t>
  </si>
  <si>
    <t>• +7725 AG DAWADE LOMPERD (Amine)</t>
  </si>
  <si>
    <t>• -6255 AG DAWADE LOMPERD (Rahim)
• -7200 SUP LA FAMILLE SD (Abdou)</t>
  </si>
  <si>
    <t>• 1000 Gasoil
• 400 Bache pour DFM
• 1585 Retour Par Client</t>
  </si>
  <si>
    <t>• 31540 A Demain Dawed Gros
• 1000 Gasoil DFM</t>
  </si>
  <si>
    <t>• 20000 Versement EL Madina (toufik)
• 7200 LA FAMILLE SD PAYE (abdou)</t>
  </si>
  <si>
    <t>• 8266 Credit AG MEKAOUI ALI SIDI GHILAS
• 20235 Credit Miloud Ouhlima</t>
  </si>
  <si>
    <t>• Rendu houari 1000 Lavage, 400 Vidnge
• 10000 Fethi Permis
• 12500 Fethi Pneu Vespa</t>
  </si>
  <si>
    <t>• +600000 VERSEMENT MOHAMED</t>
  </si>
  <si>
    <t>• 1900 Retour non chargé</t>
  </si>
  <si>
    <t>• 950 Retour non charge L.Main 2,5</t>
  </si>
  <si>
    <t>• 20235 Miloud Ouhlima
• 4440 Madjid City Kabyle
• 15725 Lyn Marcket
• 18535 GM1</t>
  </si>
  <si>
    <t>ETAT OCTOBRE</t>
  </si>
  <si>
    <t>(Tous)</t>
  </si>
  <si>
    <t>Étiquettes de lignes</t>
  </si>
  <si>
    <t>S. Livraison</t>
  </si>
  <si>
    <t>S. DEFF</t>
  </si>
  <si>
    <t>S. CHARGE</t>
  </si>
  <si>
    <t>S.LOGICIEL</t>
  </si>
  <si>
    <t>S. COMMANDE</t>
  </si>
  <si>
    <t>Total général</t>
  </si>
  <si>
    <t>ETAT NOVEMBRE</t>
  </si>
  <si>
    <t>S. DIFF</t>
  </si>
  <si>
    <t>S, CHARGE</t>
  </si>
  <si>
    <t>ETAT DECEMBRE</t>
  </si>
  <si>
    <t>S. LOGICIEL</t>
  </si>
  <si>
    <t>S. VERSEMENT</t>
  </si>
  <si>
    <t>• 1000 Faysal DFM
• 2500 Faysal 
• 2000 Brahim
• 20000 Reda
• 5000 Fethi
• 1600 Toufik
• 2000 Houari
• 5000 Hani
• 2500 Toufik
• 2000 Faissal
• 20000 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</si>
</sst>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_€"/>
    <numFmt numFmtId="165" formatCode="#,##0.00\ _€"/>
    <numFmt numFmtId="166" formatCode="[$-40C]d\-mmm;@"/>
    <numFmt numFmtId="167" formatCode="[$-F800]dddd\,\ mmmm\ dd\,\ yyyy"/>
    <numFmt numFmtId="168" formatCode="[$-40C]mmmm\-yy;@"/>
    <numFmt numFmtId="169" formatCode="#,##0.00_ ;\-#,##0.00\ "/>
    <numFmt numFmtId="170" formatCode="dddd\ dd\ \-\ mm"/>
    <numFmt numFmtId="171" formatCode="dddd\ dd\-mm"/>
  </numFmts>
  <fonts count="3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Lucida Sans"/>
      <family val="2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4"/>
      <color theme="1"/>
      <name val="Calibri Light"/>
      <family val="2"/>
    </font>
    <font>
      <b/>
      <sz val="14"/>
      <color theme="1"/>
      <name val="Calibri Light"/>
      <family val="2"/>
    </font>
    <font>
      <sz val="18"/>
      <color theme="3"/>
      <name val="Calibri Light"/>
      <family val="2"/>
    </font>
    <font>
      <b/>
      <sz val="14"/>
      <color theme="3"/>
      <name val="Calibri Light"/>
      <family val="2"/>
    </font>
    <font>
      <sz val="14"/>
      <color theme="3"/>
      <name val="Calibri Light"/>
      <family val="2"/>
    </font>
    <font>
      <b/>
      <sz val="14"/>
      <name val="Calibri"/>
      <family val="2"/>
    </font>
    <font>
      <sz val="14"/>
      <name val="Calibri"/>
      <family val="2"/>
    </font>
    <font>
      <sz val="14"/>
      <color theme="1"/>
      <name val="Consolas"/>
      <family val="3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Consolas"/>
      <family val="3"/>
    </font>
    <font>
      <sz val="11"/>
      <color theme="1"/>
      <name val="Consolas"/>
      <family val="3"/>
    </font>
    <font>
      <sz val="12"/>
      <color theme="1"/>
      <name val="Consolas"/>
      <family val="3"/>
    </font>
    <font>
      <sz val="14"/>
      <color theme="1"/>
      <name val="Consolas "/>
    </font>
    <font>
      <b/>
      <sz val="11"/>
      <color theme="1"/>
      <name val="Aptos Narrow"/>
      <family val="2"/>
      <scheme val="minor"/>
    </font>
    <font>
      <sz val="11"/>
      <color theme="1"/>
      <name val="Centaur"/>
      <family val="1"/>
    </font>
    <font>
      <b/>
      <sz val="16"/>
      <color theme="1"/>
      <name val="Consolas"/>
      <family val="3"/>
    </font>
    <font>
      <b/>
      <sz val="15"/>
      <color theme="3"/>
      <name val="Aptos Narrow"/>
      <family val="2"/>
      <scheme val="minor"/>
    </font>
    <font>
      <sz val="16"/>
      <color theme="1"/>
      <name val="Consolas"/>
      <family val="3"/>
    </font>
    <font>
      <sz val="12"/>
      <color theme="1"/>
      <name val="Monaco"/>
      <family val="2"/>
    </font>
    <font>
      <b/>
      <sz val="12"/>
      <color theme="1"/>
      <name val="Monaco"/>
      <family val="2"/>
    </font>
    <font>
      <sz val="11"/>
      <color rgb="FF006100"/>
      <name val="Aptos Narrow"/>
      <family val="2"/>
      <scheme val="minor"/>
    </font>
    <font>
      <sz val="16"/>
      <color rgb="FF006100"/>
      <name val="Monaco"/>
      <family val="2"/>
    </font>
    <font>
      <sz val="12"/>
      <color theme="0"/>
      <name val="Monaco"/>
      <family val="2"/>
    </font>
    <font>
      <sz val="12"/>
      <color theme="1"/>
      <name val="Monaco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6EFCE"/>
      </patternFill>
    </fill>
    <fill>
      <patternFill patternType="solid">
        <fgColor rgb="FFFF757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Dashed">
        <color rgb="FFFF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Dashed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double">
        <color theme="1"/>
      </top>
      <bottom style="thin">
        <color theme="1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7" fillId="13" borderId="0" applyNumberFormat="0" applyBorder="0" applyAlignment="0" applyProtection="0"/>
  </cellStyleXfs>
  <cellXfs count="27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Fill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165" fontId="10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Border="1" applyAlignment="1">
      <alignment horizontal="center"/>
    </xf>
    <xf numFmtId="164" fontId="8" fillId="0" borderId="0" xfId="2" applyNumberFormat="1" applyFont="1" applyAlignment="1">
      <alignment horizontal="center"/>
    </xf>
    <xf numFmtId="164" fontId="8" fillId="0" borderId="0" xfId="2" applyNumberFormat="1" applyFont="1" applyBorder="1" applyAlignment="1">
      <alignment horizontal="center"/>
    </xf>
    <xf numFmtId="165" fontId="8" fillId="0" borderId="0" xfId="2" applyNumberFormat="1" applyFont="1" applyAlignment="1">
      <alignment horizontal="center"/>
    </xf>
    <xf numFmtId="0" fontId="10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0" fillId="0" borderId="0" xfId="2" applyFont="1" applyBorder="1" applyAlignment="1">
      <alignment horizontal="center"/>
    </xf>
    <xf numFmtId="0" fontId="9" fillId="0" borderId="4" xfId="2" applyFont="1" applyBorder="1" applyAlignment="1">
      <alignment horizontal="center"/>
    </xf>
    <xf numFmtId="165" fontId="10" fillId="0" borderId="4" xfId="2" applyNumberFormat="1" applyFont="1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9" fillId="0" borderId="4" xfId="2" applyFont="1" applyBorder="1" applyAlignment="1">
      <alignment horizontal="center" vertical="center"/>
    </xf>
    <xf numFmtId="165" fontId="8" fillId="0" borderId="4" xfId="2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164" fontId="8" fillId="0" borderId="4" xfId="2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66" fontId="9" fillId="0" borderId="0" xfId="2" applyNumberFormat="1" applyFont="1" applyAlignment="1">
      <alignment horizontal="center"/>
    </xf>
    <xf numFmtId="0" fontId="9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0" xfId="0" applyAlignment="1"/>
    <xf numFmtId="4" fontId="0" fillId="0" borderId="0" xfId="0" applyNumberFormat="1" applyAlignment="1"/>
    <xf numFmtId="0" fontId="9" fillId="0" borderId="7" xfId="2" applyFont="1" applyBorder="1" applyAlignment="1">
      <alignment horizontal="center"/>
    </xf>
    <xf numFmtId="0" fontId="10" fillId="0" borderId="7" xfId="2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164" fontId="7" fillId="0" borderId="0" xfId="0" applyNumberFormat="1" applyFont="1" applyAlignment="1">
      <alignment horizontal="center" shrinkToFit="1"/>
    </xf>
    <xf numFmtId="164" fontId="7" fillId="0" borderId="0" xfId="0" applyNumberFormat="1" applyFont="1" applyAlignment="1">
      <alignment horizontal="center"/>
    </xf>
    <xf numFmtId="164" fontId="7" fillId="0" borderId="4" xfId="0" applyNumberFormat="1" applyFont="1" applyBorder="1" applyAlignment="1">
      <alignment horizontal="center" shrinkToFit="1"/>
    </xf>
    <xf numFmtId="164" fontId="7" fillId="0" borderId="4" xfId="0" applyNumberFormat="1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shrinkToFit="1"/>
    </xf>
    <xf numFmtId="164" fontId="7" fillId="0" borderId="6" xfId="0" applyNumberFormat="1" applyFont="1" applyBorder="1" applyAlignment="1">
      <alignment horizontal="center"/>
    </xf>
    <xf numFmtId="164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165" fontId="7" fillId="0" borderId="4" xfId="0" applyNumberFormat="1" applyFont="1" applyBorder="1" applyAlignment="1">
      <alignment horizontal="center" shrinkToFit="1"/>
    </xf>
    <xf numFmtId="165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65" fontId="9" fillId="0" borderId="0" xfId="2" applyNumberFormat="1" applyFont="1" applyAlignment="1">
      <alignment horizontal="center" shrinkToFit="1"/>
    </xf>
    <xf numFmtId="165" fontId="9" fillId="0" borderId="0" xfId="2" applyNumberFormat="1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9" fillId="0" borderId="4" xfId="2" applyNumberFormat="1" applyFont="1" applyBorder="1" applyAlignment="1">
      <alignment horizontal="center" shrinkToFit="1"/>
    </xf>
    <xf numFmtId="165" fontId="9" fillId="0" borderId="4" xfId="2" applyNumberFormat="1" applyFont="1" applyBorder="1" applyAlignment="1">
      <alignment horizontal="center"/>
    </xf>
    <xf numFmtId="165" fontId="9" fillId="0" borderId="7" xfId="2" applyNumberFormat="1" applyFont="1" applyBorder="1" applyAlignment="1">
      <alignment horizontal="center" shrinkToFit="1"/>
    </xf>
    <xf numFmtId="165" fontId="9" fillId="0" borderId="7" xfId="2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65" fontId="9" fillId="0" borderId="0" xfId="2" applyNumberFormat="1" applyFont="1" applyBorder="1" applyAlignment="1">
      <alignment horizontal="center" shrinkToFit="1"/>
    </xf>
    <xf numFmtId="165" fontId="9" fillId="0" borderId="0" xfId="2" applyNumberFormat="1" applyFont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166" fontId="7" fillId="0" borderId="5" xfId="0" applyNumberFormat="1" applyFont="1" applyBorder="1" applyAlignment="1">
      <alignment horizontal="center"/>
    </xf>
    <xf numFmtId="166" fontId="7" fillId="0" borderId="0" xfId="0" applyNumberFormat="1" applyFont="1" applyBorder="1" applyAlignment="1">
      <alignment horizontal="center"/>
    </xf>
    <xf numFmtId="166" fontId="7" fillId="0" borderId="6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6" fontId="9" fillId="0" borderId="4" xfId="2" applyNumberFormat="1" applyFont="1" applyBorder="1" applyAlignment="1">
      <alignment horizontal="center"/>
    </xf>
    <xf numFmtId="166" fontId="9" fillId="0" borderId="7" xfId="2" applyNumberFormat="1" applyFont="1" applyBorder="1" applyAlignment="1">
      <alignment horizontal="center"/>
    </xf>
    <xf numFmtId="166" fontId="9" fillId="0" borderId="0" xfId="2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 shrinkToFit="1"/>
    </xf>
    <xf numFmtId="164" fontId="9" fillId="2" borderId="2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166" fontId="12" fillId="0" borderId="12" xfId="0" applyNumberFormat="1" applyFont="1" applyFill="1" applyBorder="1" applyAlignment="1">
      <alignment horizontal="center" vertical="center" shrinkToFit="1"/>
    </xf>
    <xf numFmtId="44" fontId="12" fillId="0" borderId="13" xfId="1" applyNumberFormat="1" applyFont="1" applyFill="1" applyBorder="1" applyAlignment="1">
      <alignment horizontal="center" vertical="center"/>
    </xf>
    <xf numFmtId="166" fontId="12" fillId="0" borderId="9" xfId="0" applyNumberFormat="1" applyFont="1" applyFill="1" applyBorder="1" applyAlignment="1">
      <alignment horizontal="center" vertical="center"/>
    </xf>
    <xf numFmtId="44" fontId="12" fillId="0" borderId="11" xfId="1" applyNumberFormat="1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44" fontId="11" fillId="0" borderId="10" xfId="0" applyNumberFormat="1" applyFont="1" applyFill="1" applyBorder="1" applyAlignment="1">
      <alignment horizontal="center" vertical="center"/>
    </xf>
    <xf numFmtId="16" fontId="13" fillId="0" borderId="0" xfId="0" applyNumberFormat="1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165" fontId="13" fillId="0" borderId="0" xfId="1" applyNumberFormat="1" applyFont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165" fontId="13" fillId="0" borderId="15" xfId="1" applyNumberFormat="1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4" fontId="0" fillId="0" borderId="0" xfId="0" applyNumberFormat="1"/>
    <xf numFmtId="44" fontId="9" fillId="2" borderId="2" xfId="1" applyFont="1" applyFill="1" applyBorder="1" applyAlignment="1">
      <alignment horizontal="center" vertical="center"/>
    </xf>
    <xf numFmtId="1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0" fillId="0" borderId="0" xfId="0" applyBorder="1"/>
    <xf numFmtId="14" fontId="13" fillId="0" borderId="7" xfId="0" applyNumberFormat="1" applyFont="1" applyBorder="1" applyAlignment="1">
      <alignment horizontal="center"/>
    </xf>
    <xf numFmtId="0" fontId="13" fillId="0" borderId="0" xfId="0" applyFont="1" applyAlignment="1">
      <alignment horizontal="center" shrinkToFit="1"/>
    </xf>
    <xf numFmtId="165" fontId="0" fillId="0" borderId="0" xfId="0" applyNumberFormat="1"/>
    <xf numFmtId="0" fontId="13" fillId="0" borderId="15" xfId="0" applyFont="1" applyBorder="1" applyAlignment="1">
      <alignment horizontal="center" shrinkToFit="1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0" borderId="0" xfId="1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 shrinkToFit="1"/>
    </xf>
    <xf numFmtId="0" fontId="13" fillId="0" borderId="15" xfId="0" applyFont="1" applyBorder="1" applyAlignment="1">
      <alignment horizontal="center" vertical="center" wrapText="1" shrinkToFit="1"/>
    </xf>
    <xf numFmtId="0" fontId="13" fillId="0" borderId="0" xfId="0" applyFont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3" fillId="0" borderId="15" xfId="0" applyFont="1" applyBorder="1" applyAlignment="1">
      <alignment horizontal="center" vertical="center"/>
    </xf>
    <xf numFmtId="165" fontId="13" fillId="0" borderId="15" xfId="1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5" fontId="13" fillId="0" borderId="7" xfId="1" applyNumberFormat="1" applyFont="1" applyBorder="1" applyAlignment="1">
      <alignment horizontal="center" vertical="center"/>
    </xf>
    <xf numFmtId="165" fontId="13" fillId="0" borderId="15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wrapText="1" shrinkToFit="1"/>
    </xf>
    <xf numFmtId="165" fontId="13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shrinkToFit="1"/>
    </xf>
    <xf numFmtId="0" fontId="13" fillId="0" borderId="7" xfId="0" applyFont="1" applyBorder="1" applyAlignment="1">
      <alignment horizontal="center"/>
    </xf>
    <xf numFmtId="0" fontId="0" fillId="0" borderId="7" xfId="0" applyBorder="1"/>
    <xf numFmtId="0" fontId="19" fillId="0" borderId="7" xfId="0" applyFont="1" applyBorder="1"/>
    <xf numFmtId="14" fontId="13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5" fontId="13" fillId="0" borderId="8" xfId="1" applyNumberFormat="1" applyFont="1" applyBorder="1" applyAlignment="1">
      <alignment horizontal="center" vertical="center"/>
    </xf>
    <xf numFmtId="165" fontId="13" fillId="0" borderId="0" xfId="1" applyNumberFormat="1" applyFont="1" applyBorder="1" applyAlignment="1">
      <alignment horizontal="center" vertical="center"/>
    </xf>
    <xf numFmtId="0" fontId="13" fillId="0" borderId="0" xfId="0" applyFont="1" applyAlignment="1">
      <alignment horizontal="center" wrapText="1" shrinkToFit="1"/>
    </xf>
    <xf numFmtId="14" fontId="13" fillId="0" borderId="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14" fontId="13" fillId="0" borderId="0" xfId="0" applyNumberFormat="1" applyFont="1"/>
    <xf numFmtId="0" fontId="21" fillId="0" borderId="0" xfId="0" applyFont="1"/>
    <xf numFmtId="0" fontId="14" fillId="0" borderId="16" xfId="0" applyFont="1" applyBorder="1" applyAlignment="1">
      <alignment horizontal="center"/>
    </xf>
    <xf numFmtId="165" fontId="14" fillId="0" borderId="16" xfId="0" applyNumberFormat="1" applyFont="1" applyBorder="1" applyAlignment="1">
      <alignment horizontal="center"/>
    </xf>
    <xf numFmtId="39" fontId="14" fillId="0" borderId="16" xfId="1" applyNumberFormat="1" applyFont="1" applyBorder="1" applyAlignment="1">
      <alignment horizontal="center"/>
    </xf>
    <xf numFmtId="165" fontId="14" fillId="0" borderId="20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165" fontId="14" fillId="0" borderId="22" xfId="0" applyNumberFormat="1" applyFont="1" applyBorder="1" applyAlignment="1">
      <alignment horizontal="center"/>
    </xf>
    <xf numFmtId="166" fontId="14" fillId="0" borderId="16" xfId="0" applyNumberFormat="1" applyFont="1" applyBorder="1" applyAlignment="1">
      <alignment horizontal="center" shrinkToFit="1"/>
    </xf>
    <xf numFmtId="166" fontId="14" fillId="0" borderId="20" xfId="0" applyNumberFormat="1" applyFont="1" applyBorder="1" applyAlignment="1">
      <alignment horizontal="center" shrinkToFit="1"/>
    </xf>
    <xf numFmtId="44" fontId="0" fillId="0" borderId="0" xfId="0" applyNumberFormat="1"/>
    <xf numFmtId="44" fontId="0" fillId="0" borderId="0" xfId="1" applyFont="1"/>
    <xf numFmtId="39" fontId="13" fillId="0" borderId="0" xfId="1" applyNumberFormat="1" applyFont="1" applyAlignment="1">
      <alignment horizontal="center" vertical="center"/>
    </xf>
    <xf numFmtId="39" fontId="13" fillId="0" borderId="7" xfId="1" applyNumberFormat="1" applyFont="1" applyBorder="1" applyAlignment="1">
      <alignment horizontal="center" vertical="center"/>
    </xf>
    <xf numFmtId="169" fontId="0" fillId="0" borderId="0" xfId="0" applyNumberFormat="1"/>
    <xf numFmtId="44" fontId="13" fillId="0" borderId="0" xfId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13" fillId="0" borderId="0" xfId="0" applyFont="1"/>
    <xf numFmtId="39" fontId="13" fillId="0" borderId="0" xfId="1" applyNumberFormat="1" applyFont="1" applyAlignment="1">
      <alignment horizontal="center" vertical="center" wrapText="1"/>
    </xf>
    <xf numFmtId="4" fontId="14" fillId="0" borderId="16" xfId="0" applyNumberFormat="1" applyFont="1" applyBorder="1" applyAlignment="1">
      <alignment horizontal="center"/>
    </xf>
    <xf numFmtId="169" fontId="13" fillId="0" borderId="0" xfId="0" applyNumberFormat="1" applyFont="1" applyAlignment="1">
      <alignment horizontal="center"/>
    </xf>
    <xf numFmtId="170" fontId="13" fillId="0" borderId="0" xfId="0" applyNumberFormat="1" applyFont="1"/>
    <xf numFmtId="171" fontId="13" fillId="0" borderId="0" xfId="0" applyNumberFormat="1" applyFont="1"/>
    <xf numFmtId="14" fontId="13" fillId="3" borderId="19" xfId="0" applyNumberFormat="1" applyFont="1" applyFill="1" applyBorder="1"/>
    <xf numFmtId="0" fontId="13" fillId="3" borderId="19" xfId="0" applyFont="1" applyFill="1" applyBorder="1" applyAlignment="1">
      <alignment horizontal="center" vertical="center"/>
    </xf>
    <xf numFmtId="44" fontId="13" fillId="3" borderId="19" xfId="1" applyFont="1" applyFill="1" applyBorder="1" applyAlignment="1">
      <alignment horizontal="center" vertical="center"/>
    </xf>
    <xf numFmtId="39" fontId="13" fillId="3" borderId="19" xfId="1" applyNumberFormat="1" applyFont="1" applyFill="1" applyBorder="1" applyAlignment="1">
      <alignment horizontal="center" vertical="center"/>
    </xf>
    <xf numFmtId="169" fontId="13" fillId="3" borderId="19" xfId="0" applyNumberFormat="1" applyFont="1" applyFill="1" applyBorder="1" applyAlignment="1">
      <alignment horizontal="center" vertical="center" wrapText="1"/>
    </xf>
    <xf numFmtId="171" fontId="13" fillId="3" borderId="19" xfId="0" applyNumberFormat="1" applyFont="1" applyFill="1" applyBorder="1"/>
    <xf numFmtId="0" fontId="13" fillId="3" borderId="19" xfId="0" applyFont="1" applyFill="1" applyBorder="1"/>
    <xf numFmtId="39" fontId="16" fillId="3" borderId="19" xfId="1" applyNumberFormat="1" applyFont="1" applyFill="1" applyBorder="1" applyAlignment="1">
      <alignment horizontal="center" vertical="center"/>
    </xf>
    <xf numFmtId="0" fontId="16" fillId="3" borderId="19" xfId="0" applyFont="1" applyFill="1" applyBorder="1"/>
    <xf numFmtId="0" fontId="16" fillId="3" borderId="19" xfId="0" applyFont="1" applyFill="1" applyBorder="1" applyAlignment="1">
      <alignment horizontal="center" vertical="center"/>
    </xf>
    <xf numFmtId="44" fontId="16" fillId="3" borderId="19" xfId="1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 wrapText="1"/>
    </xf>
    <xf numFmtId="0" fontId="20" fillId="3" borderId="19" xfId="0" applyFont="1" applyFill="1" applyBorder="1"/>
    <xf numFmtId="0" fontId="17" fillId="0" borderId="0" xfId="0" applyFont="1" applyBorder="1"/>
    <xf numFmtId="0" fontId="17" fillId="0" borderId="0" xfId="0" applyNumberFormat="1" applyFont="1" applyBorder="1"/>
    <xf numFmtId="0" fontId="13" fillId="0" borderId="0" xfId="0" applyFont="1" applyBorder="1" applyAlignment="1">
      <alignment vertical="center"/>
    </xf>
    <xf numFmtId="0" fontId="13" fillId="0" borderId="0" xfId="0" applyNumberFormat="1" applyFont="1" applyBorder="1" applyAlignment="1">
      <alignment horizontal="left" vertical="center"/>
    </xf>
    <xf numFmtId="14" fontId="13" fillId="0" borderId="0" xfId="0" applyNumberFormat="1" applyFont="1" applyBorder="1" applyAlignment="1">
      <alignment vertical="center"/>
    </xf>
    <xf numFmtId="44" fontId="13" fillId="0" borderId="0" xfId="1" applyFont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39" fontId="13" fillId="0" borderId="0" xfId="0" applyNumberFormat="1" applyFont="1" applyAlignment="1">
      <alignment horizontal="center"/>
    </xf>
    <xf numFmtId="171" fontId="13" fillId="0" borderId="0" xfId="0" applyNumberFormat="1" applyFont="1" applyAlignment="1">
      <alignment vertical="center"/>
    </xf>
    <xf numFmtId="39" fontId="13" fillId="5" borderId="0" xfId="1" applyNumberFormat="1" applyFont="1" applyFill="1" applyAlignment="1">
      <alignment horizontal="center" vertical="center"/>
    </xf>
    <xf numFmtId="171" fontId="13" fillId="6" borderId="0" xfId="0" applyNumberFormat="1" applyFont="1" applyFill="1" applyAlignment="1">
      <alignment horizontal="centerContinuous"/>
    </xf>
    <xf numFmtId="0" fontId="24" fillId="0" borderId="0" xfId="0" applyFont="1" applyAlignment="1">
      <alignment horizontal="center" shrinkToFit="1"/>
    </xf>
    <xf numFmtId="20" fontId="24" fillId="0" borderId="0" xfId="0" applyNumberFormat="1" applyFont="1" applyAlignment="1">
      <alignment horizontal="center" vertical="center" shrinkToFit="1"/>
    </xf>
    <xf numFmtId="39" fontId="24" fillId="0" borderId="0" xfId="0" applyNumberFormat="1" applyFont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171" fontId="13" fillId="0" borderId="0" xfId="0" applyNumberFormat="1" applyFont="1" applyAlignment="1">
      <alignment horizontal="centerContinuous"/>
    </xf>
    <xf numFmtId="20" fontId="0" fillId="0" borderId="0" xfId="0" applyNumberFormat="1"/>
    <xf numFmtId="39" fontId="0" fillId="0" borderId="0" xfId="0" applyNumberFormat="1"/>
    <xf numFmtId="169" fontId="13" fillId="0" borderId="0" xfId="0" applyNumberFormat="1" applyFont="1" applyAlignment="1">
      <alignment horizontal="left" vertical="center" wrapText="1"/>
    </xf>
    <xf numFmtId="169" fontId="13" fillId="0" borderId="0" xfId="0" applyNumberFormat="1" applyFont="1" applyAlignment="1">
      <alignment horizontal="left" vertical="center" wrapText="1" indent="1"/>
    </xf>
    <xf numFmtId="43" fontId="13" fillId="0" borderId="0" xfId="1" applyNumberFormat="1" applyFont="1" applyAlignment="1">
      <alignment horizontal="center" vertical="center"/>
    </xf>
    <xf numFmtId="0" fontId="13" fillId="0" borderId="0" xfId="1" applyNumberFormat="1" applyFont="1" applyAlignment="1">
      <alignment horizontal="center" vertical="center"/>
    </xf>
    <xf numFmtId="171" fontId="13" fillId="0" borderId="0" xfId="0" applyNumberFormat="1" applyFont="1" applyAlignment="1">
      <alignment horizontal="center" vertical="center"/>
    </xf>
    <xf numFmtId="171" fontId="13" fillId="0" borderId="0" xfId="0" applyNumberFormat="1" applyFont="1" applyAlignment="1">
      <alignment horizontal="center"/>
    </xf>
    <xf numFmtId="171" fontId="13" fillId="0" borderId="0" xfId="0" applyNumberFormat="1" applyFont="1" applyAlignment="1">
      <alignment horizontal="center" vertical="center" shrinkToFit="1"/>
    </xf>
    <xf numFmtId="169" fontId="13" fillId="0" borderId="0" xfId="0" applyNumberFormat="1" applyFont="1" applyAlignment="1">
      <alignment vertical="top" wrapText="1"/>
    </xf>
    <xf numFmtId="169" fontId="13" fillId="8" borderId="0" xfId="0" applyNumberFormat="1" applyFont="1" applyFill="1" applyAlignment="1">
      <alignment horizontal="left" vertical="center" wrapText="1" indent="1"/>
    </xf>
    <xf numFmtId="169" fontId="13" fillId="9" borderId="0" xfId="0" applyNumberFormat="1" applyFont="1" applyFill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1"/>
    </xf>
    <xf numFmtId="39" fontId="13" fillId="0" borderId="0" xfId="1" applyNumberFormat="1" applyFont="1" applyAlignment="1">
      <alignment horizontal="left" vertical="center" wrapText="1" indent="1"/>
    </xf>
    <xf numFmtId="0" fontId="13" fillId="0" borderId="7" xfId="0" applyFont="1" applyBorder="1" applyAlignment="1">
      <alignment horizontal="left" vertical="center" wrapText="1" indent="1"/>
    </xf>
    <xf numFmtId="169" fontId="13" fillId="0" borderId="0" xfId="0" applyNumberFormat="1" applyFont="1" applyAlignment="1">
      <alignment horizontal="left" vertical="center" wrapText="1" indent="2"/>
    </xf>
    <xf numFmtId="169" fontId="13" fillId="0" borderId="0" xfId="0" quotePrefix="1" applyNumberFormat="1" applyFont="1" applyAlignment="1">
      <alignment horizontal="left" vertical="center" wrapText="1" indent="1"/>
    </xf>
    <xf numFmtId="169" fontId="13" fillId="10" borderId="0" xfId="0" applyNumberFormat="1" applyFont="1" applyFill="1" applyAlignment="1">
      <alignment horizontal="left" vertical="center" wrapText="1" indent="1"/>
    </xf>
    <xf numFmtId="0" fontId="0" fillId="0" borderId="0" xfId="0"/>
    <xf numFmtId="0" fontId="25" fillId="0" borderId="0" xfId="0" applyFont="1" applyAlignment="1">
      <alignment horizontal="center" vertical="center"/>
    </xf>
    <xf numFmtId="171" fontId="25" fillId="0" borderId="0" xfId="0" applyNumberFormat="1" applyFont="1" applyAlignment="1">
      <alignment horizontal="center" shrinkToFit="1"/>
    </xf>
    <xf numFmtId="165" fontId="25" fillId="0" borderId="0" xfId="1" applyNumberFormat="1" applyFont="1" applyAlignment="1">
      <alignment horizontal="center" vertical="center"/>
    </xf>
    <xf numFmtId="39" fontId="25" fillId="0" borderId="0" xfId="1" applyNumberFormat="1" applyFont="1" applyAlignment="1">
      <alignment horizontal="center" vertical="center"/>
    </xf>
    <xf numFmtId="44" fontId="25" fillId="0" borderId="0" xfId="1" applyFont="1" applyAlignment="1">
      <alignment horizontal="center" vertical="center"/>
    </xf>
    <xf numFmtId="0" fontId="26" fillId="3" borderId="19" xfId="0" applyFont="1" applyFill="1" applyBorder="1"/>
    <xf numFmtId="0" fontId="26" fillId="3" borderId="19" xfId="0" applyFont="1" applyFill="1" applyBorder="1" applyAlignment="1">
      <alignment horizontal="center" vertical="center"/>
    </xf>
    <xf numFmtId="39" fontId="26" fillId="3" borderId="19" xfId="1" applyNumberFormat="1" applyFont="1" applyFill="1" applyBorder="1" applyAlignment="1">
      <alignment horizontal="center" vertical="center"/>
    </xf>
    <xf numFmtId="0" fontId="26" fillId="3" borderId="19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 indent="1"/>
    </xf>
    <xf numFmtId="0" fontId="25" fillId="0" borderId="0" xfId="0" applyFont="1"/>
    <xf numFmtId="165" fontId="13" fillId="0" borderId="7" xfId="1" applyNumberFormat="1" applyFont="1" applyBorder="1" applyAlignment="1">
      <alignment horizontal="center" vertical="center" shrinkToFit="1"/>
    </xf>
    <xf numFmtId="165" fontId="13" fillId="0" borderId="0" xfId="0" applyNumberFormat="1" applyFont="1" applyBorder="1" applyAlignment="1">
      <alignment horizontal="center" vertical="center"/>
    </xf>
    <xf numFmtId="44" fontId="13" fillId="0" borderId="7" xfId="1" applyFont="1" applyBorder="1" applyAlignment="1">
      <alignment horizontal="center" vertical="center"/>
    </xf>
    <xf numFmtId="16" fontId="13" fillId="0" borderId="0" xfId="0" applyNumberFormat="1" applyFont="1" applyBorder="1" applyAlignment="1">
      <alignment horizontal="center" vertical="center"/>
    </xf>
    <xf numFmtId="44" fontId="13" fillId="0" borderId="0" xfId="1" applyFont="1" applyBorder="1" applyAlignment="1">
      <alignment horizontal="center" vertical="center"/>
    </xf>
    <xf numFmtId="39" fontId="13" fillId="0" borderId="0" xfId="1" applyNumberFormat="1" applyFont="1" applyBorder="1" applyAlignment="1">
      <alignment horizontal="center" vertical="center"/>
    </xf>
    <xf numFmtId="16" fontId="13" fillId="0" borderId="7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5" fontId="13" fillId="0" borderId="19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9" fontId="13" fillId="0" borderId="0" xfId="0" quotePrefix="1" applyNumberFormat="1" applyFont="1" applyAlignment="1">
      <alignment horizontal="center" vertical="center" wrapText="1"/>
    </xf>
    <xf numFmtId="39" fontId="13" fillId="0" borderId="0" xfId="1" applyNumberFormat="1" applyFont="1" applyAlignment="1">
      <alignment horizontal="center"/>
    </xf>
    <xf numFmtId="0" fontId="13" fillId="0" borderId="0" xfId="0" applyFont="1" applyAlignment="1">
      <alignment vertical="center"/>
    </xf>
    <xf numFmtId="44" fontId="13" fillId="0" borderId="0" xfId="0" applyNumberFormat="1" applyFont="1" applyAlignment="1">
      <alignment vertical="center"/>
    </xf>
    <xf numFmtId="171" fontId="25" fillId="0" borderId="0" xfId="0" applyNumberFormat="1" applyFont="1" applyAlignment="1">
      <alignment horizontal="center" vertical="center" shrinkToFit="1"/>
    </xf>
    <xf numFmtId="171" fontId="25" fillId="10" borderId="0" xfId="0" applyNumberFormat="1" applyFont="1" applyFill="1" applyAlignment="1">
      <alignment horizontal="center" shrinkToFit="1"/>
    </xf>
    <xf numFmtId="0" fontId="25" fillId="10" borderId="0" xfId="0" applyFont="1" applyFill="1" applyAlignment="1">
      <alignment horizontal="center" vertical="center"/>
    </xf>
    <xf numFmtId="44" fontId="25" fillId="10" borderId="0" xfId="1" applyFont="1" applyFill="1" applyAlignment="1">
      <alignment horizontal="center" vertical="center"/>
    </xf>
    <xf numFmtId="39" fontId="25" fillId="10" borderId="0" xfId="1" applyNumberFormat="1" applyFont="1" applyFill="1" applyAlignment="1">
      <alignment horizontal="center" vertical="center"/>
    </xf>
    <xf numFmtId="0" fontId="25" fillId="10" borderId="0" xfId="0" applyFont="1" applyFill="1" applyAlignment="1">
      <alignment horizontal="left" vertical="center" wrapText="1" indent="1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171" fontId="25" fillId="10" borderId="0" xfId="0" applyNumberFormat="1" applyFont="1" applyFill="1" applyAlignment="1">
      <alignment horizontal="center" vertical="center" shrinkToFit="1"/>
    </xf>
    <xf numFmtId="0" fontId="25" fillId="11" borderId="0" xfId="0" applyFont="1" applyFill="1" applyAlignment="1">
      <alignment horizontal="center" vertical="center"/>
    </xf>
    <xf numFmtId="44" fontId="25" fillId="11" borderId="0" xfId="1" applyFont="1" applyFill="1" applyAlignment="1">
      <alignment horizontal="center" vertical="center"/>
    </xf>
    <xf numFmtId="39" fontId="25" fillId="11" borderId="0" xfId="1" applyNumberFormat="1" applyFont="1" applyFill="1" applyAlignment="1">
      <alignment horizontal="center" vertical="center"/>
    </xf>
    <xf numFmtId="0" fontId="25" fillId="11" borderId="0" xfId="0" applyFont="1" applyFill="1" applyAlignment="1">
      <alignment horizontal="left" vertical="center" wrapText="1" indent="1"/>
    </xf>
    <xf numFmtId="171" fontId="25" fillId="11" borderId="0" xfId="0" applyNumberFormat="1" applyFont="1" applyFill="1" applyAlignment="1">
      <alignment horizontal="center" vertical="center" shrinkToFit="1"/>
    </xf>
    <xf numFmtId="0" fontId="25" fillId="12" borderId="0" xfId="0" applyFont="1" applyFill="1" applyAlignment="1">
      <alignment horizontal="left" vertical="center" wrapText="1" indent="1"/>
    </xf>
    <xf numFmtId="171" fontId="25" fillId="12" borderId="0" xfId="0" applyNumberFormat="1" applyFont="1" applyFill="1" applyAlignment="1">
      <alignment horizontal="center" vertical="center" shrinkToFit="1"/>
    </xf>
    <xf numFmtId="0" fontId="25" fillId="12" borderId="0" xfId="0" applyFont="1" applyFill="1" applyAlignment="1">
      <alignment horizontal="center" vertical="center"/>
    </xf>
    <xf numFmtId="44" fontId="25" fillId="12" borderId="0" xfId="1" applyFont="1" applyFill="1" applyAlignment="1">
      <alignment horizontal="center" vertical="center"/>
    </xf>
    <xf numFmtId="39" fontId="25" fillId="12" borderId="0" xfId="1" applyNumberFormat="1" applyFont="1" applyFill="1" applyAlignment="1">
      <alignment horizontal="center" vertical="center"/>
    </xf>
    <xf numFmtId="0" fontId="25" fillId="0" borderId="0" xfId="0" pivotButton="1" applyFont="1"/>
    <xf numFmtId="0" fontId="25" fillId="0" borderId="0" xfId="0" applyFont="1" applyAlignment="1">
      <alignment horizontal="left"/>
    </xf>
    <xf numFmtId="0" fontId="25" fillId="0" borderId="0" xfId="0" applyNumberFormat="1" applyFont="1"/>
    <xf numFmtId="0" fontId="25" fillId="14" borderId="0" xfId="0" applyFont="1" applyFill="1" applyAlignment="1">
      <alignment horizontal="left" vertical="center" wrapText="1" indent="1"/>
    </xf>
    <xf numFmtId="171" fontId="25" fillId="14" borderId="0" xfId="0" applyNumberFormat="1" applyFont="1" applyFill="1" applyAlignment="1">
      <alignment horizontal="center" vertical="center" shrinkToFit="1"/>
    </xf>
    <xf numFmtId="0" fontId="25" fillId="14" borderId="0" xfId="0" applyFont="1" applyFill="1" applyAlignment="1">
      <alignment horizontal="center" vertical="center"/>
    </xf>
    <xf numFmtId="44" fontId="25" fillId="14" borderId="0" xfId="1" applyFont="1" applyFill="1" applyAlignment="1">
      <alignment horizontal="center" vertical="center"/>
    </xf>
    <xf numFmtId="39" fontId="25" fillId="14" borderId="0" xfId="1" applyNumberFormat="1" applyFont="1" applyFill="1" applyAlignment="1">
      <alignment horizontal="center" vertical="center"/>
    </xf>
    <xf numFmtId="171" fontId="25" fillId="14" borderId="0" xfId="0" applyNumberFormat="1" applyFont="1" applyFill="1" applyAlignment="1">
      <alignment horizontal="center" shrinkToFit="1"/>
    </xf>
    <xf numFmtId="39" fontId="26" fillId="3" borderId="19" xfId="1" applyNumberFormat="1" applyFont="1" applyFill="1" applyBorder="1" applyAlignment="1">
      <alignment horizontal="center" vertical="center" shrinkToFit="1"/>
    </xf>
    <xf numFmtId="0" fontId="29" fillId="7" borderId="0" xfId="0" applyFont="1" applyFill="1" applyAlignment="1">
      <alignment horizontal="center" shrinkToFit="1"/>
    </xf>
    <xf numFmtId="20" fontId="29" fillId="7" borderId="0" xfId="0" applyNumberFormat="1" applyFont="1" applyFill="1" applyAlignment="1">
      <alignment horizontal="center" vertical="center" shrinkToFit="1"/>
    </xf>
    <xf numFmtId="39" fontId="29" fillId="7" borderId="0" xfId="0" applyNumberFormat="1" applyFont="1" applyFill="1" applyAlignment="1">
      <alignment horizontal="center" vertical="center" shrinkToFit="1"/>
    </xf>
    <xf numFmtId="0" fontId="29" fillId="7" borderId="0" xfId="0" applyFont="1" applyFill="1" applyAlignment="1">
      <alignment horizontal="center" vertical="center" shrinkToFit="1"/>
    </xf>
    <xf numFmtId="169" fontId="25" fillId="0" borderId="0" xfId="0" applyNumberFormat="1" applyFont="1" applyAlignment="1">
      <alignment horizontal="left" vertical="center" wrapText="1" indent="1"/>
    </xf>
    <xf numFmtId="0" fontId="30" fillId="0" borderId="0" xfId="0" applyFont="1"/>
    <xf numFmtId="39" fontId="26" fillId="3" borderId="19" xfId="0" applyNumberFormat="1" applyFont="1" applyFill="1" applyBorder="1" applyAlignment="1">
      <alignment horizontal="center" vertical="center"/>
    </xf>
    <xf numFmtId="4" fontId="26" fillId="3" borderId="19" xfId="0" applyNumberFormat="1" applyFont="1" applyFill="1" applyBorder="1" applyAlignment="1">
      <alignment horizontal="center" vertical="center"/>
    </xf>
    <xf numFmtId="44" fontId="26" fillId="3" borderId="19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165" fontId="30" fillId="0" borderId="0" xfId="0" applyNumberFormat="1" applyFont="1" applyAlignment="1">
      <alignment horizontal="center"/>
    </xf>
    <xf numFmtId="168" fontId="22" fillId="0" borderId="0" xfId="0" applyNumberFormat="1" applyFont="1" applyAlignment="1">
      <alignment horizontal="center"/>
    </xf>
    <xf numFmtId="0" fontId="23" fillId="4" borderId="0" xfId="3" applyFill="1" applyBorder="1" applyAlignment="1">
      <alignment horizontal="center"/>
    </xf>
    <xf numFmtId="0" fontId="28" fillId="13" borderId="0" xfId="4" applyFont="1" applyAlignment="1">
      <alignment horizontal="center"/>
    </xf>
    <xf numFmtId="167" fontId="16" fillId="0" borderId="0" xfId="0" applyNumberFormat="1" applyFont="1" applyBorder="1" applyAlignment="1">
      <alignment horizontal="left"/>
    </xf>
    <xf numFmtId="0" fontId="13" fillId="0" borderId="0" xfId="0" applyFont="1" applyBorder="1" applyAlignment="1">
      <alignment horizontal="left" vertical="center"/>
    </xf>
  </cellXfs>
  <cellStyles count="5">
    <cellStyle name="Monétaire" xfId="1" builtinId="4"/>
    <cellStyle name="Normal" xfId="0" builtinId="0"/>
    <cellStyle name="Satisfaisant" xfId="4" builtinId="26"/>
    <cellStyle name="Titre" xfId="2" builtinId="15"/>
    <cellStyle name="Titre 1" xfId="3" builtinId="16"/>
  </cellStyles>
  <dxfs count="1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aco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aco"/>
        <scheme val="none"/>
      </font>
      <numFmt numFmtId="7" formatCode="#,##0.00\ _€;\-#,##0.00\ _€"/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aco"/>
        <scheme val="none"/>
      </font>
      <numFmt numFmtId="7" formatCode="#,##0.00\ _€;\-#,##0.00\ _€"/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aco"/>
        <scheme val="none"/>
      </font>
      <numFmt numFmtId="7" formatCode="#,##0.00\ _€;\-#,##0.00\ _€"/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aco"/>
        <scheme val="none"/>
      </font>
      <numFmt numFmtId="7" formatCode="#,##0.00\ _€;\-#,##0.00\ _€"/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aco"/>
        <scheme val="none"/>
      </font>
      <numFmt numFmtId="7" formatCode="#,##0.00\ _€;\-#,##0.00\ _€"/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aco"/>
        <scheme val="none"/>
      </font>
      <numFmt numFmtId="25" formatCode="hh:mm"/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onaco"/>
        <scheme val="none"/>
      </font>
      <fill>
        <patternFill patternType="solid">
          <fgColor indexed="64"/>
          <bgColor theme="7" tint="-0.249977111117893"/>
        </patternFill>
      </fill>
      <alignment horizontal="center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</dxf>
    <dxf>
      <font>
        <sz val="12"/>
      </font>
    </dxf>
    <dxf>
      <font>
        <name val="Monaco"/>
        <scheme val="none"/>
      </font>
    </dxf>
    <dxf>
      <font>
        <sz val="12"/>
      </font>
    </dxf>
    <dxf>
      <font>
        <name val="Monaco"/>
        <scheme val="none"/>
      </font>
    </dxf>
    <dxf>
      <numFmt numFmtId="0" formatCode="General"/>
    </dxf>
    <dxf>
      <font>
        <sz val="12"/>
      </font>
    </dxf>
    <dxf>
      <font>
        <name val="Monaco"/>
        <scheme val="none"/>
      </font>
    </dxf>
    <dxf>
      <font>
        <strike val="0"/>
        <outline val="0"/>
        <shadow val="0"/>
        <u val="none"/>
        <vertAlign val="baseline"/>
        <sz val="12"/>
        <name val="Monaco"/>
        <scheme val="none"/>
      </font>
    </dxf>
    <dxf>
      <font>
        <strike val="0"/>
        <outline val="0"/>
        <shadow val="0"/>
        <u val="none"/>
        <vertAlign val="baseline"/>
        <sz val="12"/>
        <name val="Monaco"/>
        <scheme val="none"/>
      </font>
    </dxf>
    <dxf>
      <font>
        <strike val="0"/>
        <outline val="0"/>
        <shadow val="0"/>
        <u val="none"/>
        <vertAlign val="baseline"/>
        <sz val="12"/>
        <name val="Monaco"/>
        <scheme val="none"/>
      </font>
    </dxf>
    <dxf>
      <font>
        <strike val="0"/>
        <outline val="0"/>
        <shadow val="0"/>
        <u val="none"/>
        <vertAlign val="baseline"/>
        <sz val="12"/>
        <name val="Monaco"/>
        <scheme val="none"/>
      </font>
    </dxf>
    <dxf>
      <font>
        <strike val="0"/>
        <outline val="0"/>
        <shadow val="0"/>
        <u val="none"/>
        <vertAlign val="baseline"/>
        <sz val="12"/>
        <name val="Monaco"/>
        <scheme val="none"/>
      </font>
    </dxf>
    <dxf>
      <font>
        <strike val="0"/>
        <outline val="0"/>
        <shadow val="0"/>
        <u val="none"/>
        <vertAlign val="baseline"/>
        <sz val="12"/>
        <name val="Monaco"/>
        <scheme val="none"/>
      </font>
    </dxf>
    <dxf>
      <font>
        <strike val="0"/>
        <outline val="0"/>
        <shadow val="0"/>
        <u val="none"/>
        <vertAlign val="baseline"/>
        <sz val="12"/>
        <name val="Monaco"/>
        <scheme val="none"/>
      </font>
    </dxf>
    <dxf>
      <font>
        <strike val="0"/>
        <outline val="0"/>
        <shadow val="0"/>
        <u val="none"/>
        <vertAlign val="baseline"/>
        <sz val="12"/>
        <name val="Monaco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Monaco"/>
        <scheme val="none"/>
      </font>
      <fill>
        <patternFill patternType="solid">
          <fgColor indexed="64"/>
          <bgColor theme="7" tint="-0.249977111117893"/>
        </patternFill>
      </fill>
      <alignment horizont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onac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ac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25" formatCode="hh:mm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alignment horizontal="center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color rgb="FF000000"/>
        <name val="Consolas"/>
        <scheme val="none"/>
      </font>
      <alignment horizont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nsola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7" formatCode="#,##0.00\ _€;\-#,##0.00\ _€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7" formatCode="#,##0.00\ _€;\-#,##0.00\ _€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7" formatCode="#,##0.00\ _€;\-#,##0.00\ _€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numFmt numFmtId="21" formatCode="dd\-m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7" formatCode="#,##0.00\ _€;\-#,##0.00\ _€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numFmt numFmtId="25" formatCode="hh:mm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nsolas"/>
        <scheme val="none"/>
      </font>
      <alignment horizontal="center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6"/>
        <color theme="1"/>
        <name val="Consolas"/>
        <scheme val="none"/>
      </font>
      <alignment horizont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ck">
          <color rgb="FFFF0000"/>
        </top>
        <bottom style="thick">
          <color rgb="FFFF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165" formatCode="#,##0.00\ _€"/>
      <alignment horizontal="center" vertical="center" textRotation="0" wrapText="0" indent="0" justifyLastLine="0" shrinkToFit="0" readingOrder="0"/>
      <border diagonalUp="0" diagonalDown="0" outline="0">
        <left style="thick">
          <color rgb="FFFF0000"/>
        </left>
        <right style="thick">
          <color rgb="FFFF0000"/>
        </right>
        <top style="thick">
          <color rgb="FFFF0000"/>
        </top>
        <bottom style="thick">
          <color rgb="FFFF0000"/>
        </bottom>
      </border>
    </dxf>
    <dxf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165" formatCode="#,##0.00\ _€"/>
      <alignment horizontal="center" vertical="center" textRotation="0" wrapText="0" indent="0" justifyLastLine="0" shrinkToFit="0" readingOrder="0"/>
      <border diagonalUp="0" diagonalDown="0" outline="0">
        <left style="thick">
          <color rgb="FFFF0000"/>
        </left>
        <right style="thick">
          <color rgb="FFFF0000"/>
        </right>
        <top style="thick">
          <color rgb="FFFF0000"/>
        </top>
        <bottom style="thick">
          <color rgb="FFFF0000"/>
        </bottom>
      </border>
    </dxf>
    <dxf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165" formatCode="#,##0.00\ _€"/>
      <alignment horizontal="center" vertical="center" textRotation="0" wrapText="0" indent="0" justifyLastLine="0" shrinkToFit="0" readingOrder="0"/>
      <border diagonalUp="0" diagonalDown="0" outline="0">
        <left style="thick">
          <color rgb="FFFF0000"/>
        </left>
        <right style="thick">
          <color rgb="FFFF0000"/>
        </right>
        <top style="thick">
          <color rgb="FFFF0000"/>
        </top>
        <bottom style="thick">
          <color rgb="FFFF0000"/>
        </bottom>
      </border>
    </dxf>
    <dxf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numFmt numFmtId="165" formatCode="#,##0.00\ _€"/>
      <alignment horizontal="center" vertical="center" textRotation="0" wrapText="0" indent="0" justifyLastLine="0" shrinkToFit="0" readingOrder="0"/>
      <border diagonalUp="0" diagonalDown="0" outline="0">
        <left style="thick">
          <color rgb="FFFF0000"/>
        </left>
        <right style="thick">
          <color rgb="FFFF0000"/>
        </right>
        <top style="thick">
          <color rgb="FFFF0000"/>
        </top>
        <bottom style="thick">
          <color rgb="FFFF0000"/>
        </bottom>
      </border>
    </dxf>
    <dxf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rgb="FFFF0000"/>
        </left>
        <right style="thick">
          <color rgb="FFFF0000"/>
        </right>
        <top style="thick">
          <color rgb="FFFF0000"/>
        </top>
        <bottom style="thick">
          <color rgb="FFFF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rgb="FFFF0000"/>
        </left>
        <right style="thick">
          <color rgb="FFFF0000"/>
        </right>
        <top style="thick">
          <color rgb="FFFF0000"/>
        </top>
        <bottom style="thick">
          <color rgb="FFFF0000"/>
        </bottom>
      </border>
    </dxf>
    <dxf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ck">
          <color rgb="FFFF0000"/>
        </right>
        <top style="thick">
          <color rgb="FFFF0000"/>
        </top>
        <bottom style="thick">
          <color rgb="FFFF0000"/>
        </bottom>
      </border>
    </dxf>
    <dxf>
      <border>
        <top style="thick">
          <color rgb="FFFF0000"/>
        </top>
      </border>
    </dxf>
    <dxf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 Light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 val="0"/>
        <strike val="0"/>
        <outline val="0"/>
        <shadow val="0"/>
        <u val="none"/>
        <vertAlign val="baseline"/>
        <name val="Calibri Light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 Light"/>
        <scheme val="none"/>
      </font>
      <numFmt numFmtId="164" formatCode="#,##0\ _€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/>
        <strike val="0"/>
        <outline val="0"/>
        <shadow val="0"/>
        <u val="none"/>
        <vertAlign val="baseline"/>
        <name val="Calibri Light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 Light"/>
        <scheme val="none"/>
      </font>
      <numFmt numFmtId="164" formatCode="#,##0\ _€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/>
        <strike val="0"/>
        <outline val="0"/>
        <shadow val="0"/>
        <u val="none"/>
        <vertAlign val="baseline"/>
        <name val="Calibri Light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 Light"/>
        <scheme val="none"/>
      </font>
      <numFmt numFmtId="164" formatCode="#,##0\ _€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/>
        <strike val="0"/>
        <outline val="0"/>
        <shadow val="0"/>
        <u val="none"/>
        <vertAlign val="baseline"/>
        <name val="Calibri Light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 Light"/>
        <scheme val="none"/>
      </font>
      <numFmt numFmtId="164" formatCode="#,##0\ _€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/>
        <strike val="0"/>
        <outline val="0"/>
        <shadow val="0"/>
        <u val="none"/>
        <vertAlign val="baseline"/>
        <name val="Calibri Light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 Light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/>
        <strike val="0"/>
        <outline val="0"/>
        <shadow val="0"/>
        <u val="none"/>
        <vertAlign val="baseline"/>
        <name val="Calibri Light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 Light"/>
        <scheme val="none"/>
      </font>
      <numFmt numFmtId="164" formatCode="#,##0\ _€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 Light"/>
        <scheme val="none"/>
      </font>
      <numFmt numFmtId="164" formatCode="#,##0\ _€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/>
        <strike val="0"/>
        <outline val="0"/>
        <shadow val="0"/>
        <u val="none"/>
        <vertAlign val="baseline"/>
        <name val="Calibri Light"/>
        <scheme val="none"/>
      </font>
      <alignment horizont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 Light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/>
        <strike val="0"/>
        <outline val="0"/>
        <shadow val="0"/>
        <u val="none"/>
        <vertAlign val="baseline"/>
        <name val="Calibri Light"/>
        <scheme val="none"/>
      </font>
      <numFmt numFmtId="166" formatCode="[$-40C]d\-mmm;@"/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 Light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 style="thin">
          <color rgb="FFB2B2B2"/>
        </bottom>
      </border>
    </dxf>
    <dxf>
      <font>
        <b/>
        <strike val="0"/>
        <outline val="0"/>
        <shadow val="0"/>
        <u val="none"/>
        <vertAlign val="baseline"/>
        <name val="Calibri Light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3"/>
        <name val="Calibri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 Light"/>
        <scheme val="none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 Light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575"/>
      <color rgb="FFEB860B"/>
      <color rgb="FFF42D18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[2025-VERSEMENT_LIVREUR_2025.xlsx]ETAT_MENSUEL!Tableau croisé dynamique1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LegendKey val="1"/>
          <c:showVal val="1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8.7114778711116225E-2"/>
              <c:y val="-3.7684138403562863E-2"/>
            </c:manualLayout>
          </c:layout>
          <c:showLegendKey val="1"/>
          <c:showVal val="1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2.2319135995265704E-2"/>
              <c:y val="-1.3703323055841042E-2"/>
            </c:manualLayout>
          </c:layout>
          <c:showLegendKey val="1"/>
          <c:showVal val="1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.1019367991845056"/>
              <c:y val="-3.0832476875642344E-2"/>
            </c:manualLayout>
          </c:layout>
          <c:showLegendKey val="1"/>
          <c:showVal val="1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6.2618319499053443E-2"/>
              <c:y val="-4.4535799931483384E-2"/>
            </c:manualLayout>
          </c:layout>
          <c:showLegendKey val="1"/>
          <c:showVal val="1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4.4799204379202075E-2"/>
              <c:y val="-1.2914572728768616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1.8107551274253557E-2"/>
              <c:y val="-6.423675457833957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.13755346604638929"/>
              <c:y val="-0.1085713206712470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3.0619345859429367E-2"/>
              <c:y val="-3.4258307639602604E-3"/>
            </c:manualLayout>
          </c:layout>
          <c:dLblPos val="bestFit"/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layout>
            <c:manualLayout>
              <c:x val="-2.4103419744765726E-2"/>
              <c:y val="-2.943058376695718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5.5828744267091876E-2"/>
              <c:y val="4.5647171801366558E-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5.5174439311996233E-2"/>
              <c:y val="3.6443286315829227E-4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4.7339930629756874E-2"/>
              <c:y val="-9.064262650621909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37164440364712"/>
          <c:y val="0.19288834686909928"/>
          <c:w val="0.34465478908247749"/>
          <c:h val="0.72214445416545159"/>
        </c:manualLayout>
      </c:layout>
      <c:pieChart>
        <c:varyColors val="1"/>
        <c:ser>
          <c:idx val="0"/>
          <c:order val="0"/>
          <c:tx>
            <c:strRef>
              <c:f>ETAT_MENSUEL!$B$36</c:f>
              <c:strCache>
                <c:ptCount val="1"/>
                <c:pt idx="0">
                  <c:v>S. Livraison</c:v>
                </c:pt>
              </c:strCache>
            </c:strRef>
          </c:tx>
          <c:explosion val="31"/>
          <c:dPt>
            <c:idx val="0"/>
            <c:bubble3D val="0"/>
            <c:explosion val="7"/>
            <c:extLst xmlns:c16r2="http://schemas.microsoft.com/office/drawing/2015/06/chart">
              <c:ext xmlns:c16="http://schemas.microsoft.com/office/drawing/2014/chart" uri="{C3380CC4-5D6E-409C-BE32-E72D297353CC}">
                <c16:uniqueId val="{00000000-CF91-47F0-878E-EDDCE2431B12}"/>
              </c:ext>
            </c:extLst>
          </c:dPt>
          <c:dPt>
            <c:idx val="1"/>
            <c:bubble3D val="0"/>
            <c:explosion val="11"/>
            <c:extLst xmlns:c16r2="http://schemas.microsoft.com/office/drawing/2015/06/chart">
              <c:ext xmlns:c16="http://schemas.microsoft.com/office/drawing/2014/chart" uri="{C3380CC4-5D6E-409C-BE32-E72D297353CC}">
                <c16:uniqueId val="{00000001-CF91-47F0-878E-EDDCE2431B12}"/>
              </c:ext>
            </c:extLst>
          </c:dPt>
          <c:dPt>
            <c:idx val="2"/>
            <c:bubble3D val="0"/>
            <c:explosion val="7"/>
            <c:extLst xmlns:c16r2="http://schemas.microsoft.com/office/drawing/2015/06/chart">
              <c:ext xmlns:c16="http://schemas.microsoft.com/office/drawing/2014/chart" uri="{C3380CC4-5D6E-409C-BE32-E72D297353CC}">
                <c16:uniqueId val="{00000002-CF91-47F0-878E-EDDCE2431B12}"/>
              </c:ext>
            </c:extLst>
          </c:dPt>
          <c:dPt>
            <c:idx val="3"/>
            <c:bubble3D val="0"/>
            <c:explosion val="4"/>
            <c:extLst xmlns:c16r2="http://schemas.microsoft.com/office/drawing/2015/06/chart">
              <c:ext xmlns:c16="http://schemas.microsoft.com/office/drawing/2014/chart" uri="{C3380CC4-5D6E-409C-BE32-E72D297353CC}">
                <c16:uniqueId val="{00000003-CF91-47F0-878E-EDDCE2431B12}"/>
              </c:ext>
            </c:extLst>
          </c:dPt>
          <c:dLbls>
            <c:dLbl>
              <c:idx val="0"/>
              <c:layout>
                <c:manualLayout>
                  <c:x val="3.0619345859429367E-2"/>
                  <c:y val="-3.425830763960260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ETAT_MENSUEL!$A$37:$A$41</c:f>
              <c:strCache>
                <c:ptCount val="4"/>
                <c:pt idx="0">
                  <c:v>MOHAMED</c:v>
                </c:pt>
                <c:pt idx="1">
                  <c:v>RAYAN - 01</c:v>
                </c:pt>
                <c:pt idx="2">
                  <c:v>REDA - 03</c:v>
                </c:pt>
                <c:pt idx="3">
                  <c:v>TOUFIK - MM</c:v>
                </c:pt>
              </c:strCache>
            </c:strRef>
          </c:cat>
          <c:val>
            <c:numRef>
              <c:f>ETAT_MENSUEL!$B$37:$B$41</c:f>
              <c:numCache>
                <c:formatCode>General</c:formatCode>
                <c:ptCount val="4"/>
                <c:pt idx="0">
                  <c:v>5613382</c:v>
                </c:pt>
                <c:pt idx="1">
                  <c:v>3598546</c:v>
                </c:pt>
                <c:pt idx="2">
                  <c:v>3792437</c:v>
                </c:pt>
                <c:pt idx="3">
                  <c:v>4389366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F91-47F0-878E-EDDCE2431B12}"/>
            </c:ext>
          </c:extLst>
        </c:ser>
        <c:ser>
          <c:idx val="1"/>
          <c:order val="1"/>
          <c:tx>
            <c:strRef>
              <c:f>ETAT_MENSUEL!$C$36</c:f>
              <c:strCache>
                <c:ptCount val="1"/>
                <c:pt idx="0">
                  <c:v>S. COMMANDE</c:v>
                </c:pt>
              </c:strCache>
            </c:strRef>
          </c:tx>
          <c:explosion val="25"/>
          <c:dLbls>
            <c:dLbl>
              <c:idx val="1"/>
              <c:layout>
                <c:manualLayout>
                  <c:x val="1.8107551274253557E-2"/>
                  <c:y val="-6.423675457833957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13755346604638929"/>
                  <c:y val="-0.1085713206712470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4799204379202075E-2"/>
                  <c:y val="-1.291457272876861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ETAT_MENSUEL!$A$37:$A$41</c:f>
              <c:strCache>
                <c:ptCount val="4"/>
                <c:pt idx="0">
                  <c:v>MOHAMED</c:v>
                </c:pt>
                <c:pt idx="1">
                  <c:v>RAYAN - 01</c:v>
                </c:pt>
                <c:pt idx="2">
                  <c:v>REDA - 03</c:v>
                </c:pt>
                <c:pt idx="3">
                  <c:v>TOUFIK - MM</c:v>
                </c:pt>
              </c:strCache>
            </c:strRef>
          </c:cat>
          <c:val>
            <c:numRef>
              <c:f>ETAT_MENSUEL!$C$37:$C$41</c:f>
              <c:numCache>
                <c:formatCode>General</c:formatCode>
                <c:ptCount val="4"/>
                <c:pt idx="1">
                  <c:v>3787706</c:v>
                </c:pt>
                <c:pt idx="2">
                  <c:v>3522133</c:v>
                </c:pt>
                <c:pt idx="3">
                  <c:v>4534561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CF91-47F0-878E-EDDCE2431B12}"/>
            </c:ext>
          </c:extLst>
        </c:ser>
        <c:ser>
          <c:idx val="2"/>
          <c:order val="2"/>
          <c:tx>
            <c:strRef>
              <c:f>ETAT_MENSUEL!$D$36</c:f>
              <c:strCache>
                <c:ptCount val="1"/>
                <c:pt idx="0">
                  <c:v>S. DIFF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4.7339930629756874E-2"/>
                  <c:y val="-9.064262650621909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5.5174439311996233E-2"/>
                  <c:y val="3.6443286315829227E-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5.5828744267091876E-2"/>
                  <c:y val="4.5647171801366558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103419744765726E-2"/>
                  <c:y val="-2.943058376695718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ETAT_MENSUEL!$A$37:$A$41</c:f>
              <c:strCache>
                <c:ptCount val="4"/>
                <c:pt idx="0">
                  <c:v>MOHAMED</c:v>
                </c:pt>
                <c:pt idx="1">
                  <c:v>RAYAN - 01</c:v>
                </c:pt>
                <c:pt idx="2">
                  <c:v>REDA - 03</c:v>
                </c:pt>
                <c:pt idx="3">
                  <c:v>TOUFIK - MM</c:v>
                </c:pt>
              </c:strCache>
            </c:strRef>
          </c:cat>
          <c:val>
            <c:numRef>
              <c:f>ETAT_MENSUEL!$D$37:$D$41</c:f>
              <c:numCache>
                <c:formatCode>General</c:formatCode>
                <c:ptCount val="4"/>
                <c:pt idx="0">
                  <c:v>-58701</c:v>
                </c:pt>
                <c:pt idx="1">
                  <c:v>-9970</c:v>
                </c:pt>
                <c:pt idx="2">
                  <c:v>-120960</c:v>
                </c:pt>
                <c:pt idx="3">
                  <c:v>-91278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CF91-47F0-878E-EDDCE2431B12}"/>
            </c:ext>
          </c:extLst>
        </c:ser>
        <c:ser>
          <c:idx val="3"/>
          <c:order val="3"/>
          <c:tx>
            <c:strRef>
              <c:f>ETAT_MENSUEL!$E$36</c:f>
              <c:strCache>
                <c:ptCount val="1"/>
                <c:pt idx="0">
                  <c:v>S.LOGICIEL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6.2618319499053443E-2"/>
                  <c:y val="-4.4535799931483384E-2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019367991845056"/>
                  <c:y val="-3.0832476875642344E-2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8.7114778711116225E-2"/>
                  <c:y val="-3.7684138403562863E-2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2319135995265704E-2"/>
                  <c:y val="-1.3703323055841042E-2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showLegendKey val="1"/>
            <c:showVal val="1"/>
            <c:showCatName val="0"/>
            <c:showSerName val="0"/>
            <c:showPercent val="1"/>
            <c:showBubbleSize val="0"/>
            <c:showLeaderLines val="1"/>
          </c:dLbls>
          <c:cat>
            <c:strRef>
              <c:f>ETAT_MENSUEL!$A$37:$A$41</c:f>
              <c:strCache>
                <c:ptCount val="4"/>
                <c:pt idx="0">
                  <c:v>MOHAMED</c:v>
                </c:pt>
                <c:pt idx="1">
                  <c:v>RAYAN - 01</c:v>
                </c:pt>
                <c:pt idx="2">
                  <c:v>REDA - 03</c:v>
                </c:pt>
                <c:pt idx="3">
                  <c:v>TOUFIK - MM</c:v>
                </c:pt>
              </c:strCache>
            </c:strRef>
          </c:cat>
          <c:val>
            <c:numRef>
              <c:f>ETAT_MENSUEL!$E$37:$E$41</c:f>
              <c:numCache>
                <c:formatCode>General</c:formatCode>
                <c:ptCount val="4"/>
                <c:pt idx="0">
                  <c:v>5672083</c:v>
                </c:pt>
                <c:pt idx="1">
                  <c:v>3632116</c:v>
                </c:pt>
                <c:pt idx="2">
                  <c:v>3924297</c:v>
                </c:pt>
                <c:pt idx="3">
                  <c:v>4489804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CF91-47F0-878E-EDDCE2431B12}"/>
            </c:ext>
          </c:extLst>
        </c:ser>
        <c:ser>
          <c:idx val="4"/>
          <c:order val="4"/>
          <c:tx>
            <c:strRef>
              <c:f>ETAT_MENSUEL!$F$36</c:f>
              <c:strCache>
                <c:ptCount val="1"/>
                <c:pt idx="0">
                  <c:v>S, CHARGE</c:v>
                </c:pt>
              </c:strCache>
            </c:strRef>
          </c:tx>
          <c:explosion val="25"/>
          <c:cat>
            <c:strRef>
              <c:f>ETAT_MENSUEL!$A$37:$A$41</c:f>
              <c:strCache>
                <c:ptCount val="4"/>
                <c:pt idx="0">
                  <c:v>MOHAMED</c:v>
                </c:pt>
                <c:pt idx="1">
                  <c:v>RAYAN - 01</c:v>
                </c:pt>
                <c:pt idx="2">
                  <c:v>REDA - 03</c:v>
                </c:pt>
                <c:pt idx="3">
                  <c:v>TOUFIK - MM</c:v>
                </c:pt>
              </c:strCache>
            </c:strRef>
          </c:cat>
          <c:val>
            <c:numRef>
              <c:f>ETAT_MENSUEL!$F$37:$F$41</c:f>
              <c:numCache>
                <c:formatCode>General</c:formatCode>
                <c:ptCount val="4"/>
                <c:pt idx="1">
                  <c:v>23600</c:v>
                </c:pt>
                <c:pt idx="2">
                  <c:v>10900</c:v>
                </c:pt>
                <c:pt idx="3">
                  <c:v>9160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CF91-47F0-878E-EDDCE243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[2025-VERSEMENT_LIVREUR_2025.xlsx]ETAT_MENSUEL!Tableau croisé dynamique3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3.719507389820547E-2"/>
              <c:y val="-1.6088874307378244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3.2794507556784411E-2"/>
              <c:y val="-4.4258530183727031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7.8735749634349136E-2"/>
              <c:y val="-7.2991396908719747E-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0.11309611107771834"/>
              <c:y val="-3.965733449985418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9.0906747343604946E-2"/>
              <c:y val="1.5647986596394166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6.3056907962840525E-2"/>
              <c:y val="3.6661634287677304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4.4909806121563048E-2"/>
              <c:y val="-0.12274243561116284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4.0474978795589485E-2"/>
              <c:y val="5.7083148762547047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6.5232781016876712E-2"/>
              <c:y val="-0.10734727332447394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4.2022132729592009E-2"/>
              <c:y val="3.0203615478030802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8.7006872232573987E-2"/>
              <c:y val="-2.9582252275870798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9.0372730126291462E-2"/>
              <c:y val="-0.11449837427038038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8.4279617719540789E-2"/>
              <c:y val="-0.11292568050118879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3.9010371795128659E-2"/>
              <c:y val="1.3448204163916939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8.2502921867590978E-2"/>
              <c:y val="-9.2455951616840087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-7.1538071099891146E-2"/>
              <c:y val="-7.0030525748001365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-8.2824293909826152E-2"/>
              <c:y val="1.5152282198938681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9.1925560831613601E-2"/>
              <c:y val="-2.0253065381752654E-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0.11610787201218169"/>
              <c:y val="-3.2297627549713576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7.6248388798728403E-2"/>
              <c:y val="3.9443304374553637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1.5176881515764728E-2"/>
              <c:y val="-4.1249838029718155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0.11053855863436918"/>
              <c:y val="4.3503258992740719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0.14102609311240674"/>
              <c:y val="-0.16875796667781626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ETAT_MENSUEL!$B$5</c:f>
              <c:strCache>
                <c:ptCount val="1"/>
                <c:pt idx="0">
                  <c:v>S. Livraison</c:v>
                </c:pt>
              </c:strCache>
            </c:strRef>
          </c:tx>
          <c:explosion val="25"/>
          <c:dPt>
            <c:idx val="0"/>
            <c:bubble3D val="0"/>
            <c:explosion val="9"/>
            <c:extLst xmlns:c16r2="http://schemas.microsoft.com/office/drawing/2015/06/chart">
              <c:ext xmlns:c16="http://schemas.microsoft.com/office/drawing/2014/chart" uri="{C3380CC4-5D6E-409C-BE32-E72D297353CC}">
                <c16:uniqueId val="{00000000-CD6B-4455-88F7-8336EBBBC190}"/>
              </c:ext>
            </c:extLst>
          </c:dPt>
          <c:dLbls>
            <c:dLbl>
              <c:idx val="0"/>
              <c:layout>
                <c:manualLayout>
                  <c:x val="4.2022132729592009E-2"/>
                  <c:y val="3.020361547803080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8.4279617719540789E-2"/>
                  <c:y val="-0.1129256805011887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3.9010371795128659E-2"/>
                  <c:y val="1.344820416391693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0372730126291462E-2"/>
                  <c:y val="-0.1144983742703803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8.7006872232573987E-2"/>
                  <c:y val="-2.958225227587079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ETAT_MENSUEL!$A$6:$A$11</c:f>
              <c:strCache>
                <c:ptCount val="5"/>
                <c:pt idx="0">
                  <c:v>01 - RAYAN</c:v>
                </c:pt>
                <c:pt idx="1">
                  <c:v>03 - REDA</c:v>
                </c:pt>
                <c:pt idx="2">
                  <c:v>03 - REDA </c:v>
                </c:pt>
                <c:pt idx="3">
                  <c:v>MM - TOUFIK</c:v>
                </c:pt>
                <c:pt idx="4">
                  <c:v>MOHAMED</c:v>
                </c:pt>
              </c:strCache>
            </c:strRef>
          </c:cat>
          <c:val>
            <c:numRef>
              <c:f>ETAT_MENSUEL!$B$6:$B$11</c:f>
              <c:numCache>
                <c:formatCode>General</c:formatCode>
                <c:ptCount val="5"/>
                <c:pt idx="0">
                  <c:v>3668711</c:v>
                </c:pt>
                <c:pt idx="1">
                  <c:v>3668826</c:v>
                </c:pt>
                <c:pt idx="2">
                  <c:v>272035</c:v>
                </c:pt>
                <c:pt idx="3">
                  <c:v>4202593</c:v>
                </c:pt>
                <c:pt idx="4">
                  <c:v>4671419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CD6B-4455-88F7-8336EBBBC190}"/>
            </c:ext>
          </c:extLst>
        </c:ser>
        <c:ser>
          <c:idx val="1"/>
          <c:order val="1"/>
          <c:tx>
            <c:strRef>
              <c:f>ETAT_MENSUEL!$C$5</c:f>
              <c:strCache>
                <c:ptCount val="1"/>
                <c:pt idx="0">
                  <c:v>S. DEFF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1.5176881515764728E-2"/>
                  <c:y val="-4.124983802971815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1610787201218169"/>
                  <c:y val="-3.229762754971357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7.6248388798728403E-2"/>
                  <c:y val="3.944330437455363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0.14102609311240674"/>
                  <c:y val="-0.1687579666778162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0.11053855863436918"/>
                  <c:y val="4.350325899274071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ETAT_MENSUEL!$A$6:$A$11</c:f>
              <c:strCache>
                <c:ptCount val="5"/>
                <c:pt idx="0">
                  <c:v>01 - RAYAN</c:v>
                </c:pt>
                <c:pt idx="1">
                  <c:v>03 - REDA</c:v>
                </c:pt>
                <c:pt idx="2">
                  <c:v>03 - REDA </c:v>
                </c:pt>
                <c:pt idx="3">
                  <c:v>MM - TOUFIK</c:v>
                </c:pt>
                <c:pt idx="4">
                  <c:v>MOHAMED</c:v>
                </c:pt>
              </c:strCache>
            </c:strRef>
          </c:cat>
          <c:val>
            <c:numRef>
              <c:f>ETAT_MENSUEL!$C$6:$C$11</c:f>
              <c:numCache>
                <c:formatCode>General</c:formatCode>
                <c:ptCount val="5"/>
                <c:pt idx="0">
                  <c:v>-72001</c:v>
                </c:pt>
                <c:pt idx="1">
                  <c:v>-22342</c:v>
                </c:pt>
                <c:pt idx="2">
                  <c:v>-149</c:v>
                </c:pt>
                <c:pt idx="3">
                  <c:v>-291301</c:v>
                </c:pt>
                <c:pt idx="4">
                  <c:v>-52623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CD6B-4455-88F7-8336EBBBC190}"/>
            </c:ext>
          </c:extLst>
        </c:ser>
        <c:ser>
          <c:idx val="2"/>
          <c:order val="2"/>
          <c:tx>
            <c:strRef>
              <c:f>ETAT_MENSUEL!$D$5</c:f>
              <c:strCache>
                <c:ptCount val="1"/>
                <c:pt idx="0">
                  <c:v>S. CHARGE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8.2502921867590978E-2"/>
                  <c:y val="-9.245595161684008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1925560831613601E-2"/>
                  <c:y val="-2.0253065381752654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8.2824293909826152E-2"/>
                  <c:y val="1.515228219893868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7.1538071099891146E-2"/>
                  <c:y val="-7.003052574800136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ETAT_MENSUEL!$A$6:$A$11</c:f>
              <c:strCache>
                <c:ptCount val="5"/>
                <c:pt idx="0">
                  <c:v>01 - RAYAN</c:v>
                </c:pt>
                <c:pt idx="1">
                  <c:v>03 - REDA</c:v>
                </c:pt>
                <c:pt idx="2">
                  <c:v>03 - REDA </c:v>
                </c:pt>
                <c:pt idx="3">
                  <c:v>MM - TOUFIK</c:v>
                </c:pt>
                <c:pt idx="4">
                  <c:v>MOHAMED</c:v>
                </c:pt>
              </c:strCache>
            </c:strRef>
          </c:cat>
          <c:val>
            <c:numRef>
              <c:f>ETAT_MENSUEL!$D$6:$D$11</c:f>
              <c:numCache>
                <c:formatCode>General</c:formatCode>
                <c:ptCount val="5"/>
                <c:pt idx="0">
                  <c:v>71240</c:v>
                </c:pt>
                <c:pt idx="1">
                  <c:v>42500</c:v>
                </c:pt>
                <c:pt idx="2">
                  <c:v>900</c:v>
                </c:pt>
                <c:pt idx="3">
                  <c:v>28510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CD6B-4455-88F7-8336EBBBC190}"/>
            </c:ext>
          </c:extLst>
        </c:ser>
        <c:ser>
          <c:idx val="3"/>
          <c:order val="3"/>
          <c:tx>
            <c:strRef>
              <c:f>ETAT_MENSUEL!$E$5</c:f>
              <c:strCache>
                <c:ptCount val="1"/>
                <c:pt idx="0">
                  <c:v>S.LOGICIEL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9.0906747343604946E-2"/>
                  <c:y val="1.564798659639416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6.5232781016876712E-2"/>
                  <c:y val="-0.1073472733244739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0474978795589485E-2"/>
                  <c:y val="5.708314876254704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4909806121563048E-2"/>
                  <c:y val="-0.1227424356111628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6.3056907962840525E-2"/>
                  <c:y val="3.666163428767730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ETAT_MENSUEL!$A$6:$A$11</c:f>
              <c:strCache>
                <c:ptCount val="5"/>
                <c:pt idx="0">
                  <c:v>01 - RAYAN</c:v>
                </c:pt>
                <c:pt idx="1">
                  <c:v>03 - REDA</c:v>
                </c:pt>
                <c:pt idx="2">
                  <c:v>03 - REDA </c:v>
                </c:pt>
                <c:pt idx="3">
                  <c:v>MM - TOUFIK</c:v>
                </c:pt>
                <c:pt idx="4">
                  <c:v>MOHAMED</c:v>
                </c:pt>
              </c:strCache>
            </c:strRef>
          </c:cat>
          <c:val>
            <c:numRef>
              <c:f>ETAT_MENSUEL!$E$6:$E$11</c:f>
              <c:numCache>
                <c:formatCode>General</c:formatCode>
                <c:ptCount val="5"/>
                <c:pt idx="0">
                  <c:v>3811952</c:v>
                </c:pt>
                <c:pt idx="1">
                  <c:v>3733668</c:v>
                </c:pt>
                <c:pt idx="2">
                  <c:v>273084</c:v>
                </c:pt>
                <c:pt idx="3">
                  <c:v>4522404</c:v>
                </c:pt>
                <c:pt idx="4">
                  <c:v>4724042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CD6B-4455-88F7-8336EBBBC190}"/>
            </c:ext>
          </c:extLst>
        </c:ser>
        <c:ser>
          <c:idx val="4"/>
          <c:order val="4"/>
          <c:tx>
            <c:strRef>
              <c:f>ETAT_MENSUEL!$F$5</c:f>
              <c:strCache>
                <c:ptCount val="1"/>
                <c:pt idx="0">
                  <c:v>S. COMMANDE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3.719507389820547E-2"/>
                  <c:y val="-1.608887430737824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1309611107771834"/>
                  <c:y val="-3.965733449985418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7.8735749634349136E-2"/>
                  <c:y val="-7.299139690871974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3.2794507556784411E-2"/>
                  <c:y val="-4.425853018372703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ETAT_MENSUEL!$A$6:$A$11</c:f>
              <c:strCache>
                <c:ptCount val="5"/>
                <c:pt idx="0">
                  <c:v>01 - RAYAN</c:v>
                </c:pt>
                <c:pt idx="1">
                  <c:v>03 - REDA</c:v>
                </c:pt>
                <c:pt idx="2">
                  <c:v>03 - REDA </c:v>
                </c:pt>
                <c:pt idx="3">
                  <c:v>MM - TOUFIK</c:v>
                </c:pt>
                <c:pt idx="4">
                  <c:v>MOHAMED</c:v>
                </c:pt>
              </c:strCache>
            </c:strRef>
          </c:cat>
          <c:val>
            <c:numRef>
              <c:f>ETAT_MENSUEL!$F$6:$F$11</c:f>
              <c:numCache>
                <c:formatCode>General</c:formatCode>
                <c:ptCount val="5"/>
                <c:pt idx="0">
                  <c:v>3947306</c:v>
                </c:pt>
                <c:pt idx="1">
                  <c:v>3690307</c:v>
                </c:pt>
                <c:pt idx="2">
                  <c:v>275184</c:v>
                </c:pt>
                <c:pt idx="3">
                  <c:v>4559987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CD6B-4455-88F7-8336EBBBC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[2025-VERSEMENT_LIVREUR_2025.xlsx]ETAT_MENSUEL!Tableau croisé dynamique2</c:name>
    <c:fmtId val="0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fr-FR"/>
            </a:p>
          </c:txPr>
          <c:showLegendKey val="0"/>
          <c:showVal val="1"/>
          <c:showCatName val="1"/>
          <c:showSerName val="0"/>
          <c:showPercent val="1"/>
          <c:showBubbleSize val="0"/>
        </c:dLbl>
      </c:pivotFmt>
      <c:pivotFmt>
        <c:idx val="3"/>
        <c:marker>
          <c:symbol val="none"/>
        </c:marker>
      </c:pivotFmt>
      <c:pivotFmt>
        <c:idx val="4"/>
        <c:dLbl>
          <c:idx val="0"/>
          <c:layout>
            <c:manualLayout>
              <c:x val="7.7009989361658426E-2"/>
              <c:y val="6.8132079820297689E-2"/>
            </c:manualLayout>
          </c:layout>
          <c:showLegendKey val="0"/>
          <c:showVal val="1"/>
          <c:showCatName val="1"/>
          <c:showSerName val="0"/>
          <c:showPercent val="1"/>
          <c:showBubbleSize val="0"/>
        </c:dLbl>
      </c:pivotFmt>
      <c:pivotFmt>
        <c:idx val="5"/>
        <c:dLbl>
          <c:idx val="0"/>
          <c:layout>
            <c:manualLayout>
              <c:x val="0.10781322522478118"/>
              <c:y val="2.4674667960082972E-3"/>
            </c:manualLayout>
          </c:layout>
          <c:showLegendKey val="0"/>
          <c:showVal val="1"/>
          <c:showCatName val="1"/>
          <c:showSerName val="0"/>
          <c:showPercent val="1"/>
          <c:showBubbleSize val="0"/>
        </c:dLbl>
      </c:pivotFmt>
      <c:pivotFmt>
        <c:idx val="6"/>
        <c:dLbl>
          <c:idx val="0"/>
          <c:layout>
            <c:manualLayout>
              <c:x val="0.14593206659026778"/>
              <c:y val="-0.14259880358991822"/>
            </c:manualLayout>
          </c:layout>
          <c:showLegendKey val="0"/>
          <c:showVal val="1"/>
          <c:showCatName val="1"/>
          <c:showSerName val="0"/>
          <c:showPercent val="1"/>
          <c:showBubbleSize val="0"/>
        </c:dLbl>
      </c:pivotFmt>
      <c:pivotFmt>
        <c:idx val="7"/>
        <c:dLbl>
          <c:idx val="0"/>
          <c:layout>
            <c:manualLayout>
              <c:x val="4.1852118837258021E-2"/>
              <c:y val="0.11003911208346663"/>
            </c:manualLayout>
          </c:layout>
          <c:showLegendKey val="0"/>
          <c:showVal val="1"/>
          <c:showCatName val="1"/>
          <c:showSerName val="0"/>
          <c:showPercent val="1"/>
          <c:showBubbleSize val="0"/>
        </c:dLbl>
      </c:pivotFmt>
      <c:pivotFmt>
        <c:idx val="8"/>
        <c:dLbl>
          <c:idx val="0"/>
          <c:layout>
            <c:manualLayout>
              <c:x val="-6.9461798495845301E-2"/>
              <c:y val="4.0625999731684917E-2"/>
            </c:manualLayout>
          </c:layout>
          <c:showLegendKey val="0"/>
          <c:showVal val="1"/>
          <c:showCatName val="1"/>
          <c:showSerName val="0"/>
          <c:showPercent val="1"/>
          <c:showBubbleSize val="0"/>
        </c:dLbl>
      </c:pivotFmt>
      <c:pivotFmt>
        <c:idx val="9"/>
        <c:dLbl>
          <c:idx val="0"/>
          <c:layout>
            <c:manualLayout>
              <c:x val="-7.9258109168278842E-2"/>
              <c:y val="6.2865536303374922E-2"/>
            </c:manualLayout>
          </c:layout>
          <c:showLegendKey val="0"/>
          <c:showVal val="1"/>
          <c:showCatName val="1"/>
          <c:showSerName val="0"/>
          <c:showPercent val="1"/>
          <c:showBubbleSize val="0"/>
        </c:dLbl>
      </c:pivotFmt>
      <c:pivotFmt>
        <c:idx val="10"/>
        <c:dLbl>
          <c:idx val="0"/>
          <c:layout>
            <c:manualLayout>
              <c:x val="-0.10641144915570999"/>
              <c:y val="1.2790029686656141E-2"/>
            </c:manualLayout>
          </c:layout>
          <c:showLegendKey val="0"/>
          <c:showVal val="1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ETAT_MENSUEL!$B$72</c:f>
              <c:strCache>
                <c:ptCount val="1"/>
                <c:pt idx="0">
                  <c:v>S. VERSEMENT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0.14593206659026778"/>
                  <c:y val="-0.1425988035899182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0781322522478118"/>
                  <c:y val="2.4674667960082972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7.7009989361658426E-2"/>
                  <c:y val="6.813207982029768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4.1852118837258021E-2"/>
                  <c:y val="0.1100391120834666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6.9461798495845301E-2"/>
                  <c:y val="4.062599973168491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-7.9258109168278842E-2"/>
                  <c:y val="6.286553630337492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-0.10641144915570999"/>
                  <c:y val="1.279002968665614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</c:dLbls>
          <c:cat>
            <c:strRef>
              <c:f>ETAT_MENSUEL!$A$73:$A$80</c:f>
              <c:strCache>
                <c:ptCount val="7"/>
                <c:pt idx="0">
                  <c:v>ACCOMPTE</c:v>
                </c:pt>
                <c:pt idx="1">
                  <c:v>AMINE</c:v>
                </c:pt>
                <c:pt idx="2">
                  <c:v>CREDIT</c:v>
                </c:pt>
                <c:pt idx="3">
                  <c:v>MOHAMED</c:v>
                </c:pt>
                <c:pt idx="4">
                  <c:v>REDA</c:v>
                </c:pt>
                <c:pt idx="5">
                  <c:v>TOUFIK</c:v>
                </c:pt>
                <c:pt idx="6">
                  <c:v>VERS. CREDIT</c:v>
                </c:pt>
              </c:strCache>
            </c:strRef>
          </c:cat>
          <c:val>
            <c:numRef>
              <c:f>ETAT_MENSUEL!$B$73:$B$80</c:f>
              <c:numCache>
                <c:formatCode>General</c:formatCode>
                <c:ptCount val="7"/>
                <c:pt idx="0">
                  <c:v>-83690</c:v>
                </c:pt>
                <c:pt idx="1">
                  <c:v>3552230</c:v>
                </c:pt>
                <c:pt idx="2">
                  <c:v>-380306</c:v>
                </c:pt>
                <c:pt idx="3">
                  <c:v>6078121</c:v>
                </c:pt>
                <c:pt idx="4">
                  <c:v>3775890</c:v>
                </c:pt>
                <c:pt idx="5">
                  <c:v>4998018</c:v>
                </c:pt>
                <c:pt idx="6">
                  <c:v>466774</c:v>
                </c:pt>
              </c:numCache>
            </c:numRef>
          </c:val>
        </c:ser>
        <c:ser>
          <c:idx val="1"/>
          <c:order val="1"/>
          <c:tx>
            <c:strRef>
              <c:f>ETAT_MENSUEL!$C$72</c:f>
              <c:strCache>
                <c:ptCount val="1"/>
                <c:pt idx="0">
                  <c:v>S. COMMANDE</c:v>
                </c:pt>
              </c:strCache>
            </c:strRef>
          </c:tx>
          <c:explosion val="25"/>
          <c:cat>
            <c:strRef>
              <c:f>ETAT_MENSUEL!$A$73:$A$80</c:f>
              <c:strCache>
                <c:ptCount val="7"/>
                <c:pt idx="0">
                  <c:v>ACCOMPTE</c:v>
                </c:pt>
                <c:pt idx="1">
                  <c:v>AMINE</c:v>
                </c:pt>
                <c:pt idx="2">
                  <c:v>CREDIT</c:v>
                </c:pt>
                <c:pt idx="3">
                  <c:v>MOHAMED</c:v>
                </c:pt>
                <c:pt idx="4">
                  <c:v>REDA</c:v>
                </c:pt>
                <c:pt idx="5">
                  <c:v>TOUFIK</c:v>
                </c:pt>
                <c:pt idx="6">
                  <c:v>VERS. CREDIT</c:v>
                </c:pt>
              </c:strCache>
            </c:strRef>
          </c:cat>
          <c:val>
            <c:numRef>
              <c:f>ETAT_MENSUEL!$C$73:$C$80</c:f>
              <c:numCache>
                <c:formatCode>General</c:formatCode>
                <c:ptCount val="7"/>
                <c:pt idx="1">
                  <c:v>3687680</c:v>
                </c:pt>
                <c:pt idx="3">
                  <c:v>0</c:v>
                </c:pt>
                <c:pt idx="4">
                  <c:v>3795554</c:v>
                </c:pt>
                <c:pt idx="5">
                  <c:v>5239920</c:v>
                </c:pt>
              </c:numCache>
            </c:numRef>
          </c:val>
        </c:ser>
        <c:ser>
          <c:idx val="2"/>
          <c:order val="2"/>
          <c:tx>
            <c:strRef>
              <c:f>ETAT_MENSUEL!$D$72</c:f>
              <c:strCache>
                <c:ptCount val="1"/>
                <c:pt idx="0">
                  <c:v>S. LOGICIEL</c:v>
                </c:pt>
              </c:strCache>
            </c:strRef>
          </c:tx>
          <c:explosion val="25"/>
          <c:cat>
            <c:strRef>
              <c:f>ETAT_MENSUEL!$A$73:$A$80</c:f>
              <c:strCache>
                <c:ptCount val="7"/>
                <c:pt idx="0">
                  <c:v>ACCOMPTE</c:v>
                </c:pt>
                <c:pt idx="1">
                  <c:v>AMINE</c:v>
                </c:pt>
                <c:pt idx="2">
                  <c:v>CREDIT</c:v>
                </c:pt>
                <c:pt idx="3">
                  <c:v>MOHAMED</c:v>
                </c:pt>
                <c:pt idx="4">
                  <c:v>REDA</c:v>
                </c:pt>
                <c:pt idx="5">
                  <c:v>TOUFIK</c:v>
                </c:pt>
                <c:pt idx="6">
                  <c:v>VERS. CREDIT</c:v>
                </c:pt>
              </c:strCache>
            </c:strRef>
          </c:cat>
          <c:val>
            <c:numRef>
              <c:f>ETAT_MENSUEL!$D$73:$D$80</c:f>
              <c:numCache>
                <c:formatCode>General</c:formatCode>
                <c:ptCount val="7"/>
                <c:pt idx="1">
                  <c:v>3552567</c:v>
                </c:pt>
                <c:pt idx="3">
                  <c:v>5536424</c:v>
                </c:pt>
                <c:pt idx="4">
                  <c:v>3803572</c:v>
                </c:pt>
                <c:pt idx="5">
                  <c:v>4993391</c:v>
                </c:pt>
              </c:numCache>
            </c:numRef>
          </c:val>
        </c:ser>
        <c:ser>
          <c:idx val="3"/>
          <c:order val="3"/>
          <c:tx>
            <c:strRef>
              <c:f>ETAT_MENSUEL!$E$72</c:f>
              <c:strCache>
                <c:ptCount val="1"/>
                <c:pt idx="0">
                  <c:v>S. CHARGE</c:v>
                </c:pt>
              </c:strCache>
            </c:strRef>
          </c:tx>
          <c:explosion val="25"/>
          <c:cat>
            <c:strRef>
              <c:f>ETAT_MENSUEL!$A$73:$A$80</c:f>
              <c:strCache>
                <c:ptCount val="7"/>
                <c:pt idx="0">
                  <c:v>ACCOMPTE</c:v>
                </c:pt>
                <c:pt idx="1">
                  <c:v>AMINE</c:v>
                </c:pt>
                <c:pt idx="2">
                  <c:v>CREDIT</c:v>
                </c:pt>
                <c:pt idx="3">
                  <c:v>MOHAMED</c:v>
                </c:pt>
                <c:pt idx="4">
                  <c:v>REDA</c:v>
                </c:pt>
                <c:pt idx="5">
                  <c:v>TOUFIK</c:v>
                </c:pt>
                <c:pt idx="6">
                  <c:v>VERS. CREDIT</c:v>
                </c:pt>
              </c:strCache>
            </c:strRef>
          </c:cat>
          <c:val>
            <c:numRef>
              <c:f>ETAT_MENSUEL!$E$73:$E$80</c:f>
              <c:numCache>
                <c:formatCode>General</c:formatCode>
                <c:ptCount val="7"/>
                <c:pt idx="1">
                  <c:v>4700</c:v>
                </c:pt>
                <c:pt idx="3">
                  <c:v>8000</c:v>
                </c:pt>
                <c:pt idx="4">
                  <c:v>26500</c:v>
                </c:pt>
                <c:pt idx="5">
                  <c:v>38800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41</xdr:row>
      <xdr:rowOff>163830</xdr:rowOff>
    </xdr:from>
    <xdr:to>
      <xdr:col>6</xdr:col>
      <xdr:colOff>15240</xdr:colOff>
      <xdr:row>64</xdr:row>
      <xdr:rowOff>114300</xdr:rowOff>
    </xdr:to>
    <xdr:graphicFrame macro="">
      <xdr:nvGraphicFramePr>
        <xdr:cNvPr id="2" name="Graphique 1" title="NOVEMBRE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</xdr:colOff>
      <xdr:row>12</xdr:row>
      <xdr:rowOff>156210</xdr:rowOff>
    </xdr:from>
    <xdr:to>
      <xdr:col>6</xdr:col>
      <xdr:colOff>0</xdr:colOff>
      <xdr:row>29</xdr:row>
      <xdr:rowOff>106680</xdr:rowOff>
    </xdr:to>
    <xdr:graphicFrame macro="">
      <xdr:nvGraphicFramePr>
        <xdr:cNvPr id="3" name="Graphique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82</xdr:row>
      <xdr:rowOff>34290</xdr:rowOff>
    </xdr:from>
    <xdr:to>
      <xdr:col>8</xdr:col>
      <xdr:colOff>22860</xdr:colOff>
      <xdr:row>98</xdr:row>
      <xdr:rowOff>137160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92.36631701389" createdVersion="4" refreshedVersion="4" minRefreshableVersion="3" recordCount="156">
  <cacheSource type="worksheet">
    <worksheetSource name="Tableau11"/>
  </cacheSource>
  <cacheFields count="8">
    <cacheField name="DATE" numFmtId="0">
      <sharedItems containsNonDate="0" containsDate="1" containsString="0" containsBlank="1" minDate="2025-11-01T00:00:00" maxDate="2025-12-01T00:00:00" count="27">
        <d v="2025-11-01T00:00:00"/>
        <m/>
        <d v="2025-11-02T00:00:00"/>
        <d v="2025-11-03T00:00:00"/>
        <d v="2025-11-04T00:00:00"/>
        <d v="2025-11-05T00:00:00"/>
        <d v="2025-11-06T00:00:00"/>
        <d v="2025-11-08T00:00:00"/>
        <d v="2025-11-09T00:00:00"/>
        <d v="2025-11-10T00:00:00"/>
        <d v="2025-11-11T00:00:00"/>
        <d v="2025-11-12T00:00:00"/>
        <d v="2025-11-13T00:00:00"/>
        <d v="2025-11-15T00:00:00"/>
        <d v="2025-11-16T00:00:00"/>
        <d v="2025-11-17T00:00:00"/>
        <d v="2025-11-18T00:00:00"/>
        <d v="2025-11-19T00:00:00"/>
        <d v="2025-11-20T00:00:00"/>
        <d v="2025-11-22T00:00:00"/>
        <d v="2025-11-23T00:00:00"/>
        <d v="2025-11-24T00:00:00"/>
        <d v="2025-11-25T00:00:00"/>
        <d v="2025-11-26T00:00:00"/>
        <d v="2025-11-27T00:00:00"/>
        <d v="2025-11-29T00:00:00"/>
        <d v="2025-11-30T00:00:00"/>
      </sharedItems>
    </cacheField>
    <cacheField name="LIVREUR" numFmtId="0">
      <sharedItems containsBlank="1" count="6">
        <s v="MOHAMED"/>
        <s v="TOUFIK - MM"/>
        <s v="RAYAN - 01"/>
        <s v="REDA - 03"/>
        <s v="N.B"/>
        <m/>
      </sharedItems>
    </cacheField>
    <cacheField name="T. COMMANDE" numFmtId="0">
      <sharedItems containsString="0" containsBlank="1" containsNumber="1" containsInteger="1" minValue="10313" maxValue="623994"/>
    </cacheField>
    <cacheField name="T.LOGICIEL" numFmtId="39">
      <sharedItems containsBlank="1" containsMixedTypes="1" containsNumber="1" containsInteger="1" minValue="25620" maxValue="595800"/>
    </cacheField>
    <cacheField name="VERSEMENT" numFmtId="39">
      <sharedItems containsString="0" containsBlank="1" containsNumber="1" containsInteger="1" minValue="-48000" maxValue="972910"/>
    </cacheField>
    <cacheField name="CHARGE" numFmtId="39">
      <sharedItems containsString="0" containsBlank="1" containsNumber="1" containsInteger="1" minValue="0" maxValue="30000"/>
    </cacheField>
    <cacheField name="DIFF" numFmtId="39">
      <sharedItems containsString="0" containsBlank="1" containsNumber="1" containsInteger="1" minValue="-74675" maxValue="187730"/>
    </cacheField>
    <cacheField name="OBSERVATION" numFmtId="0">
      <sharedItems containsBlank="1" count="103">
        <s v="• versement 250000"/>
        <s v="• 2000 DA TOUFIK_x000a_• 1085 retour"/>
        <s v="• 600  gasoil_x000a_• 3000 da rayan_x000a_• 7070 retour 1 ferme"/>
        <s v="• 225 semain Cherchell modification"/>
        <s v="• 10000 farouk kares payé"/>
        <m/>
        <s v="• 104275 versement, _x000a_• Abdou 101000 , _x000a_• WAHAB RESTE 500"/>
        <s v="• 7015 retour 1 fermé"/>
        <s v="• 6560 wahab gouraya_x000a_• 85 vaisselle "/>
        <s v="• acompte_x000a_'total : E12+E13+E15+3275+E14'"/>
        <s v="• 170 vaisselle grenadine_x000a_• crédit( 3405 hamza bniderjine,  7725 dawed lampard, 6149 la famille boumaza)_x000a_• 6925 retour 1 fermé"/>
        <s v="• 20340 rahma_x000a_• 10250 la famille"/>
        <s v="• Rayan 5000 da"/>
        <s v="• 1000 Gasoil_x000a_• 120 saber ysalha"/>
        <s v="• 1200 fouka shop ysalha_x000a_• 20229 crédit proxy_x000a_• 85 vaisselle grenadine_x000a_• 8340 retour"/>
        <s v="• 100 modification"/>
        <s v="• 5000 versement miloud ouhlima_x000a_• 190 vente depos_x000a_• 14000 clark"/>
        <s v="• 5000 mini marcket crédit_x000a_• 2660 retour"/>
        <s v="• 200 lampe ford_x000a_• 1000 gasoil_x000a_• 61630 retour eco marché_x000a_• 11580 crédit lyn marcket"/>
        <s v="• 1000 reda chrino"/>
        <s v="• brahim 1000"/>
        <s v="• 435 lave sole_x000a_• 9375 retour"/>
        <s v="• 62460 boharb payé_x000a_• 125270 versement boughrassa"/>
        <s v="• 4050 retour fermé_x000a_• 410 client ysalha"/>
        <s v="• 3405 vers hamza bni derjine_x000a_• 450 vente depos"/>
        <s v="• 500 Glaciol, 1000 Gasoil_x000a_• 6000 crédit farouk kares_x000a_• 1015 = lavesole 6*145=870_x000a_• 145 ysalha client)_x000a_• 10315 retour 1 ferme"/>
        <s v="• 1000 da prise par wassim le 06/11_x000a_• DGR KHERDDINE (-43470 crédit, +20125 versement crédit kdim)_x000a_• 14140 retour"/>
        <s v="• 1305 = Lave-Sol x 9"/>
        <s v="• 500 da wahab crédit payé le 02/11"/>
        <s v="• Reste 36046"/>
        <s v="• 290 = 2 lave sole_x000a_• 1000 da gasoil_x000a_• 2025 retour"/>
        <s v="• 3240 retour_x000a_• 910 Bureautique brahim"/>
        <s v="• 2000 retour_x000a_• Lave sole 5*145=725_x000a_• 75 changemen prix djelaili_x000a_• 1000 gasoil"/>
        <s v="• 950 = 10 L Lavende vente depos"/>
        <s v="• 36046+261456-50000 = 247502_x000a_• -50000 Vanne_x000a_• Versement 224000_x000a_• Reste: 23500."/>
        <s v="• 100 Batterie Vespa Faysal"/>
        <s v="• 22127 Retour, La famille, Yacine Khawa_x000a_• 22000 Rahma Crédit_x000a_• Lave-Sole = 8*145= 1160"/>
        <s v="• Lave-Sole = 6*145 = 870"/>
        <s v="• 5000 Hani Chauffeur Avance"/>
        <s v="• 23500 le 10-11 Payé"/>
        <s v="• 1500 Houari ford rendu (payé par rahim)_x000a_• 1000 Gasoil_x000a_• 230 retour_x000a_• 85 vaisselle grenadine"/>
        <s v="• dawed gros a demain_x000a_• 5890 retour rachid gros_x000a_• 50000 2B Crédit"/>
        <s v="• 850 Glacion_x000a_• 145 lave-sole_x000a_• Sup Fethi a livré demain"/>
        <s v="• - 1000 wassim avance_x000a_• 11580 Lyn marcket crédit payé_x000a_• 10000 Reda Boxer_x000a_• 7000 Da Clarck"/>
        <s v="• 8830 retour 1 fermé_x000a_• 7 Lave-Sole = 1150"/>
        <s v="• Lave-Sole 145x3 = 435_x000a_• 2315 retour"/>
        <s v="• 145 lave-sole"/>
        <s v="• 4744 versement gm1_x000a_• -5400 reda boxer + procy"/>
        <s v="• Reste 11000"/>
        <s v="• 2000 Radioteur boxer_x000a_• 290 Lave-Sole_x000a_• 1950 retour"/>
        <s v="• 3000 Joint cache culbuteur ford_x000a_• Lave-Sole: 145*2=290_x000a_• 700 Toufik_x000a_• hidech retour"/>
        <s v="• 6 Lave-Sole"/>
        <s v="• 1500 Houari Le 11/11 Rendu_x000a_• 27025 Boughrassa Versement_x000a_• 6560 wahab gouraya_x000a_• -5000 da reda avance"/>
        <s v="• 11000 le 13-11 Payé"/>
        <s v="• 8800 Cardon_x000a_• 3500 Bloc_x000a_• 1000 Gasoil_x000a_• 1464 retour"/>
        <s v="• Lave-Sole x 2_x000a_• 45710 retour raho cominel"/>
        <s v="• 1000 Gasoil"/>
        <s v="• - 10000 Vespa_x000a_• - 43000 Acompte Objectif_x000a_• 1000 Wassim rendu le 11/11_x000a_• 6000 farouk kares payé_x000a_• - 2000 hani Avance"/>
        <s v="• Reste Wahab 2070"/>
        <s v="• Lave-Sol x 1_x000a_• 350 Toufik total = 1050_x000a_• 1150 retour"/>
        <s v="• 27604 Crédit Familly Shop Damous"/>
        <s v="• 7000 Da Clarck"/>
        <s v="• 5000 Hcen Kabyle Payé_x000a_• 5600 Retour"/>
        <s v="• -28719 Rahma_x000a_• -37501 NASEREDINE LOMPERD_x000a_• 20921 retour la famille rendu_x000a_• 250 Lampe brahim"/>
        <s v="• Lave-Sole x 2 _x000a_• Smail DGR non payé_x000a_• 3400 Houari_x000a_• 3400 Faysal"/>
        <s v="• - 4000 da essence wassim_x000a_• - 3000 Hani Avance_x000a_• + 2000 da Verse Baazize Balili_x000a_• + 600 Vente Depos_x000a_• - 500 da Rahim_x000a_• + 35000 2B_x000a_• + 20230 Proxy Dwawda "/>
        <s v="• 5895 Retour AG ATMAN FOUKA"/>
        <s v="• 480 modification prix rachid."/>
        <s v="• 145 Lave-Sole_x000a_• 200 Bon Pour_x000a_• 2000 Retour Carton 3 L"/>
        <s v="• 32000 NASEREDINE LOMPERD R 5500_x000a_• -650 Rahim Huille Sango_x000a_• -2000 Wassim_x000a_• + 13575 DGR Rahou_x000a_• - 3300 Rahim"/>
        <s v="• Reste 20000 da"/>
        <s v="• 85 Vaisselle_x000a_• 80 Les Orange Changement Prix_x000a_• 1000 Gasoil_x000a_• 8400 Retrou 1 Ferme 1 a Demain_x000a_• 11125 Retour Manque (4,5 marseille, poudre 300, 3L rose)"/>
        <s v="• 305 Gm Versement._x000a_• 650 Brahim Huile Sango_x000a_• 290 Lave-Sol_x000a_• 3100 Ali-Birare Rendu_x000a_• 19675 Lyn Crédit_x000a_• 14230 retour"/>
        <s v="• -900 Da Glaciol Houari_x000a_• +3000 Amir Mini Marcket_x000a_• 7000 Clarck"/>
        <s v="• 20000 le 19-11 Payé"/>
        <s v="• 10480 Retour 2 Fermé_x000a_• 900 = 10 poudre 350g"/>
        <s v="• 3430 RETOUR_x000a_• 1000 GASOIL_x000a_• 25350 BOHARB CREDIT_x000a_• + 6600 POUDRE (3400+3200)_x000a_• + 3535 VERS BOUGHRASSA"/>
        <s v="• 74665 Crédit SUP NEDJARI BEKACEM"/>
        <s v="• Reste 548"/>
        <s v="• 15575 Pas d'argent_x000a_• 1200 Retour"/>
        <s v="• 14510 Vers DGR KHERDDINE"/>
        <s v="• 550 Le 22-11 Payé"/>
        <s v="• 7855 retour 1 pas d'argent koudayl"/>
        <s v="• Livrée par Abdou"/>
        <s v="• 74660 NEDJARI BEKACEM PAYE"/>
        <s v="• 27086 La Famille Crédit_x000a_• 405 retour 1 x 3L"/>
        <s v="• 1000 Gasoil_x000a_• 1000 Reda_x000a_• 1725 chiffon retour"/>
        <s v="• Scotch GM_x000a_• Sac Poubelle_x000a_• Film Eterable"/>
        <s v="• 1464 N.L Vaisselle C.vert_x000a_• 255 vaisselle grenadine_x000a_• 145 Amine"/>
        <s v="• 4930 retour_x000a_• 1000 toufik"/>
        <s v="• 100 Modification prix"/>
        <s v="• 2000 Faysal_x000a_• 30000 Free Camion par rahim"/>
        <s v="• 290 x 2 Lave-sole_x000a_• 1100 gasoil_x000a_• 8600 Retour 1 Fermé"/>
        <s v="• 1920 retour "/>
        <s v="• 15780 Versement gm_x000a_• 145 Amine payé"/>
        <s v="• RESTE 450 _x000a_• 5800 WAHAB"/>
        <s v="• 2150 Retour_x000a_• 145 Lave-Sol_x000a_• 1000 Gasoil_x000a_• - 1300 Rahim"/>
        <s v="• 1800 retour"/>
        <s v="• 25350 verse Bouharb _x000a_• 8705 verse Boughrassa_x000a_• -2000 da rahim_x000a_• 5000 Vers wahab gouraya_x000a_• -20000 da reda"/>
        <s v="• 19525 Retour"/>
        <s v="• 800 Ford houari"/>
        <s v="• + 4325 Versement Kheredine par toufik"/>
        <s v="• 1000 Gasoil_x000a_• 850 Glasiol_x000a_• 22185 Reto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002.473814814817" createdVersion="4" refreshedVersion="4" minRefreshableVersion="3" recordCount="144">
  <cacheSource type="worksheet">
    <worksheetSource name="Tableau10"/>
  </cacheSource>
  <cacheFields count="8">
    <cacheField name="DATE" numFmtId="0">
      <sharedItems containsNonDate="0" containsDate="1" containsString="0" containsBlank="1" minDate="2025-10-01T00:00:00" maxDate="2025-10-31T00:00:00" count="27">
        <d v="2025-10-01T00:00:00"/>
        <m/>
        <d v="2025-10-02T00:00:00"/>
        <d v="2025-10-04T00:00:00"/>
        <d v="2025-10-05T00:00:00"/>
        <d v="2025-10-06T00:00:00"/>
        <d v="2025-10-07T00:00:00"/>
        <d v="2025-10-08T00:00:00"/>
        <d v="2025-10-09T00:00:00"/>
        <d v="2025-10-11T00:00:00"/>
        <d v="2025-10-12T00:00:00"/>
        <d v="2025-10-13T00:00:00"/>
        <d v="2025-10-14T00:00:00"/>
        <d v="2025-10-15T00:00:00"/>
        <d v="2025-10-16T00:00:00"/>
        <d v="2025-10-18T00:00:00"/>
        <d v="2025-10-19T00:00:00"/>
        <d v="2025-10-20T00:00:00"/>
        <d v="2025-10-21T00:00:00"/>
        <d v="2025-10-22T00:00:00"/>
        <d v="2025-10-23T00:00:00"/>
        <d v="2025-10-25T00:00:00"/>
        <d v="2025-10-26T00:00:00"/>
        <d v="2025-10-27T00:00:00"/>
        <d v="2025-10-28T00:00:00"/>
        <d v="2025-10-29T00:00:00"/>
        <d v="2025-10-30T00:00:00"/>
      </sharedItems>
    </cacheField>
    <cacheField name="LIVREUR" numFmtId="0">
      <sharedItems containsBlank="1" count="7">
        <s v="MOHAMED"/>
        <s v="MM - TOUFIK"/>
        <s v="01 - RAYAN"/>
        <s v="03 - REDA"/>
        <m/>
        <s v="03 - REDA "/>
        <s v="N.B"/>
      </sharedItems>
    </cacheField>
    <cacheField name="T. COMMANDE" numFmtId="0">
      <sharedItems containsString="0" containsBlank="1" containsNumber="1" containsInteger="1" minValue="40819" maxValue="505252"/>
    </cacheField>
    <cacheField name="T.LOGICIEL" numFmtId="39">
      <sharedItems containsBlank="1" containsMixedTypes="1" containsNumber="1" containsInteger="1" minValue="-88260" maxValue="303165"/>
    </cacheField>
    <cacheField name="VERSEMENT" numFmtId="39">
      <sharedItems containsString="0" containsBlank="1" containsNumber="1" containsInteger="1" minValue="-88260" maxValue="903945"/>
    </cacheField>
    <cacheField name="CHARGE" numFmtId="39">
      <sharedItems containsString="0" containsBlank="1" containsNumber="1" containsInteger="1" minValue="0" maxValue="26000"/>
    </cacheField>
    <cacheField name="DEFF" numFmtId="0">
      <sharedItems containsString="0" containsBlank="1" containsNumber="1" containsInteger="1" minValue="-133237" maxValue="40082"/>
    </cacheField>
    <cacheField name="OBSERV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DMIN" refreshedDate="46025.36366087963" createdVersion="4" refreshedVersion="4" minRefreshableVersion="3" recordCount="241">
  <cacheSource type="worksheet">
    <worksheetSource name="Tableau12"/>
  </cacheSource>
  <cacheFields count="8">
    <cacheField name="DATE" numFmtId="0">
      <sharedItems containsNonDate="0" containsDate="1" containsString="0" containsBlank="1" minDate="2025-12-01T00:00:00" maxDate="2026-01-01T00:00:00" count="28">
        <d v="2025-12-01T00:00:00"/>
        <m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3T00:00:00"/>
        <d v="2025-12-14T00:00:00"/>
        <d v="2025-12-15T00:00:00"/>
        <d v="2025-12-16T00:00:00"/>
        <d v="2025-12-17T00:00:00"/>
        <d v="2025-12-18T00:00:00"/>
        <d v="2025-12-20T00:00:00"/>
        <d v="2025-12-21T00:00:00"/>
        <d v="2025-12-22T00:00:00"/>
        <d v="2025-12-23T00:00:00"/>
        <d v="2025-12-24T00:00:00"/>
        <d v="2025-12-25T00:00:00"/>
        <d v="2025-12-27T00:00:00"/>
        <d v="2025-12-28T00:00:00"/>
        <d v="2025-12-29T00:00:00"/>
        <d v="2025-12-30T00:00:00"/>
        <d v="2025-12-31T00:00:00"/>
      </sharedItems>
    </cacheField>
    <cacheField name="LIVREUR" numFmtId="0">
      <sharedItems containsBlank="1" count="9">
        <s v="MOHAMED"/>
        <s v="AMINE"/>
        <s v="TOUFIK"/>
        <s v="REDA"/>
        <s v="VERS. CREDIT"/>
        <s v="ACCOMPTE"/>
        <s v="CREDIT"/>
        <m/>
        <s v="N.B"/>
      </sharedItems>
    </cacheField>
    <cacheField name="T. COMMANDE" numFmtId="0">
      <sharedItems containsString="0" containsBlank="1" containsNumber="1" containsInteger="1" minValue="0" maxValue="480702"/>
    </cacheField>
    <cacheField name="T.LOGICIEL" numFmtId="39">
      <sharedItems containsBlank="1" containsMixedTypes="1" containsNumber="1" containsInteger="1" minValue="46891" maxValue="437023"/>
    </cacheField>
    <cacheField name="VERSEMENT" numFmtId="0">
      <sharedItems containsString="0" containsBlank="1" containsNumber="1" containsInteger="1" minValue="-150000" maxValue="1115795" count="195">
        <n v="184570"/>
        <n v="132515"/>
        <n v="97090"/>
        <n v="191215"/>
        <n v="4000"/>
        <n v="0"/>
        <n v="609390"/>
        <n v="165505"/>
        <n v="71439"/>
        <n v="337180"/>
        <n v="93590"/>
        <n v="15000"/>
        <n v="-1500"/>
        <n v="-5420"/>
        <n v="675794"/>
        <n v="192030"/>
        <n v="134110"/>
        <n v="102665"/>
        <n v="75535"/>
        <n v="22450"/>
        <n v="1700"/>
        <n v="528490"/>
        <n v="165670"/>
        <n v="162280"/>
        <n v="280750"/>
        <n v="233152"/>
        <n v="15908"/>
        <n v="-27300"/>
        <n v="340"/>
        <n v="830800"/>
        <n v="237540"/>
        <n v="106876"/>
        <n v="435478"/>
        <n v="136185"/>
        <n v="-109353"/>
        <n v="806726"/>
        <n v="412340"/>
        <n v="218750"/>
        <n v="67705"/>
        <n v="182645"/>
        <n v="20176"/>
        <n v="-150"/>
        <n v="901466"/>
        <n v="170955"/>
        <n v="148655"/>
        <n v="205790"/>
        <n v="71615"/>
        <n v="-24000"/>
        <n v="573015"/>
        <n v="225100"/>
        <n v="172800"/>
        <n v="244659"/>
        <n v="81990"/>
        <n v="24000"/>
        <n v="-65600"/>
        <n v="-1450"/>
        <n v="681499"/>
        <n v="173745"/>
        <n v="124860"/>
        <n v="104210"/>
        <n v="97150"/>
        <n v="77995"/>
        <n v="-3600"/>
        <n v="-5000"/>
        <n v="-134500"/>
        <n v="434860"/>
        <n v="203280"/>
        <n v="141285"/>
        <n v="147070"/>
        <n v="274522"/>
        <n v="18691"/>
        <n v="-10000"/>
        <n v="-5770"/>
        <n v="769078"/>
        <n v="169000"/>
        <n v="80900"/>
        <n v="176455"/>
        <n v="137060"/>
        <n v="16050"/>
        <n v="-6790"/>
        <n v="-1000"/>
        <m/>
        <n v="571675"/>
        <n v="170000"/>
        <n v="152740"/>
        <n v="62840"/>
        <n v="266915"/>
        <n v="27000"/>
        <n v="-150000"/>
        <n v="529495"/>
        <n v="195100"/>
        <n v="110770"/>
        <n v="163450"/>
        <n v="172835"/>
        <n v="5000"/>
        <n v="-11200"/>
        <n v="-25888"/>
        <n v="-8250"/>
        <n v="601817"/>
        <n v="204100"/>
        <n v="115455"/>
        <n v="200446"/>
        <n v="82315"/>
        <n v="-850"/>
        <n v="-2000"/>
        <n v="599466"/>
        <n v="154930"/>
        <n v="87510"/>
        <n v="170449"/>
        <n v="104710"/>
        <n v="25809"/>
        <n v="-15723"/>
        <n v="-1300"/>
        <n v="526385"/>
        <n v="227506"/>
        <n v="146980"/>
        <n v="173610"/>
        <n v="242870"/>
        <n v="3330"/>
        <n v="-17600"/>
        <n v="-6200"/>
        <n v="770496"/>
        <n v="234455"/>
        <n v="169200"/>
        <n v="169783"/>
        <n v="120400"/>
        <n v="27325"/>
        <n v="719163"/>
        <n v="225960"/>
        <n v="163100"/>
        <n v="130430"/>
        <n v="98270"/>
        <n v="5770"/>
        <n v="-9600"/>
        <n v="613930"/>
        <n v="188890"/>
        <n v="118860"/>
        <n v="141483"/>
        <n v="45890"/>
        <n v="-45266"/>
        <n v="446357"/>
        <n v="163470"/>
        <n v="114720"/>
        <n v="185235"/>
        <n v="91345"/>
        <n v="15435"/>
        <n v="569205"/>
        <n v="178115"/>
        <n v="112190"/>
        <n v="117680"/>
        <n v="100910"/>
        <n v="23415"/>
        <n v="-18000"/>
        <n v="514310"/>
        <n v="170940"/>
        <n v="124045"/>
        <n v="415420"/>
        <n v="231980"/>
        <n v="15560"/>
        <n v="-500"/>
        <n v="957445"/>
        <n v="127425"/>
        <n v="294290"/>
        <n v="99660"/>
        <n v="10000"/>
        <n v="-3000"/>
        <n v="527375"/>
        <n v="432075"/>
        <n v="179640"/>
        <n v="201525"/>
        <n v="303155"/>
        <n v="400"/>
        <n v="1115795"/>
        <n v="217600"/>
        <n v="142595"/>
        <n v="122385"/>
        <n v="56715"/>
        <n v="7725"/>
        <n v="-13455"/>
        <n v="533565"/>
        <n v="214635"/>
        <n v="132215"/>
        <n v="157180"/>
        <n v="104126"/>
        <n v="27200"/>
        <n v="-28501"/>
        <n v="-20900"/>
        <n v="585955"/>
        <n v="800610"/>
        <n v="60315"/>
        <n v="92760"/>
        <n v="79135"/>
        <n v="58935"/>
        <n v="-25500"/>
        <n v="1066255"/>
      </sharedItems>
    </cacheField>
    <cacheField name="CHARGE" numFmtId="0">
      <sharedItems containsString="0" containsBlank="1" containsNumber="1" containsInteger="1" minValue="150" maxValue="25000"/>
    </cacheField>
    <cacheField name="DIFF" numFmtId="39">
      <sharedItems containsString="0" containsBlank="1" containsNumber="1" containsInteger="1" minValue="-225467" maxValue="600000"/>
    </cacheField>
    <cacheField name="OBSERVATION" numFmtId="0">
      <sharedItems containsBlank="1"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6">
  <r>
    <x v="0"/>
    <x v="0"/>
    <m/>
    <n v="173886"/>
    <n v="173886"/>
    <m/>
    <n v="0"/>
    <x v="0"/>
  </r>
  <r>
    <x v="1"/>
    <x v="1"/>
    <n v="255190"/>
    <n v="254105"/>
    <n v="252050"/>
    <m/>
    <n v="-2055"/>
    <x v="1"/>
  </r>
  <r>
    <x v="1"/>
    <x v="2"/>
    <n v="150689"/>
    <n v="143439"/>
    <n v="140789"/>
    <n v="600"/>
    <n v="-2050"/>
    <x v="2"/>
  </r>
  <r>
    <x v="1"/>
    <x v="3"/>
    <n v="94515"/>
    <n v="94290"/>
    <n v="94290"/>
    <m/>
    <n v="0"/>
    <x v="3"/>
  </r>
  <r>
    <x v="1"/>
    <x v="4"/>
    <m/>
    <m/>
    <n v="10000"/>
    <m/>
    <m/>
    <x v="4"/>
  </r>
  <r>
    <x v="1"/>
    <x v="5"/>
    <m/>
    <s v="TOTAL"/>
    <n v="671015"/>
    <n v="600"/>
    <n v="-4105"/>
    <x v="5"/>
  </r>
  <r>
    <x v="2"/>
    <x v="0"/>
    <m/>
    <n v="180893"/>
    <n v="180389"/>
    <m/>
    <n v="-504"/>
    <x v="6"/>
  </r>
  <r>
    <x v="2"/>
    <x v="1"/>
    <n v="25620"/>
    <n v="25620"/>
    <n v="25620"/>
    <m/>
    <n v="0"/>
    <x v="5"/>
  </r>
  <r>
    <x v="2"/>
    <x v="2"/>
    <n v="169903"/>
    <n v="162888"/>
    <n v="162890"/>
    <m/>
    <n v="2"/>
    <x v="7"/>
  </r>
  <r>
    <x v="2"/>
    <x v="3"/>
    <n v="170407"/>
    <n v="166052"/>
    <n v="158425"/>
    <n v="1000"/>
    <n v="-6627"/>
    <x v="8"/>
  </r>
  <r>
    <x v="2"/>
    <x v="4"/>
    <m/>
    <m/>
    <n v="-30000"/>
    <m/>
    <m/>
    <x v="9"/>
  </r>
  <r>
    <x v="1"/>
    <x v="5"/>
    <m/>
    <s v="TOTAL"/>
    <n v="497324"/>
    <n v="1000"/>
    <n v="-7129"/>
    <x v="5"/>
  </r>
  <r>
    <x v="3"/>
    <x v="0"/>
    <m/>
    <n v="237669"/>
    <n v="237670"/>
    <m/>
    <n v="1"/>
    <x v="5"/>
  </r>
  <r>
    <x v="1"/>
    <x v="2"/>
    <n v="156993"/>
    <n v="150068"/>
    <n v="132585"/>
    <m/>
    <n v="-17483"/>
    <x v="10"/>
  </r>
  <r>
    <x v="1"/>
    <x v="1"/>
    <n v="108364"/>
    <n v="108364"/>
    <n v="77750"/>
    <m/>
    <n v="-30614"/>
    <x v="11"/>
  </r>
  <r>
    <x v="1"/>
    <x v="3"/>
    <n v="60744"/>
    <n v="60744"/>
    <n v="60740"/>
    <m/>
    <n v="-4"/>
    <x v="5"/>
  </r>
  <r>
    <x v="1"/>
    <x v="4"/>
    <m/>
    <m/>
    <n v="-5000"/>
    <m/>
    <m/>
    <x v="12"/>
  </r>
  <r>
    <x v="1"/>
    <x v="5"/>
    <m/>
    <s v="TOTAL"/>
    <n v="503745"/>
    <n v="0"/>
    <n v="-48100"/>
    <x v="5"/>
  </r>
  <r>
    <x v="4"/>
    <x v="0"/>
    <m/>
    <n v="262862"/>
    <n v="263040"/>
    <m/>
    <n v="178"/>
    <x v="5"/>
  </r>
  <r>
    <x v="1"/>
    <x v="2"/>
    <n v="109962"/>
    <n v="109002"/>
    <n v="107885"/>
    <n v="1000"/>
    <n v="-117"/>
    <x v="13"/>
  </r>
  <r>
    <x v="1"/>
    <x v="1"/>
    <n v="248334"/>
    <n v="238356"/>
    <n v="216795"/>
    <m/>
    <n v="-21561"/>
    <x v="14"/>
  </r>
  <r>
    <x v="1"/>
    <x v="3"/>
    <n v="100378"/>
    <n v="100378"/>
    <n v="99270"/>
    <n v="1000"/>
    <n v="-108"/>
    <x v="15"/>
  </r>
  <r>
    <x v="1"/>
    <x v="4"/>
    <m/>
    <m/>
    <n v="-8820"/>
    <n v="14000"/>
    <m/>
    <x v="16"/>
  </r>
  <r>
    <x v="1"/>
    <x v="5"/>
    <m/>
    <s v="TOTAL"/>
    <n v="678170"/>
    <n v="16000"/>
    <n v="-21608"/>
    <x v="5"/>
  </r>
  <r>
    <x v="5"/>
    <x v="0"/>
    <m/>
    <n v="202155"/>
    <n v="202155"/>
    <m/>
    <n v="0"/>
    <x v="5"/>
  </r>
  <r>
    <x v="1"/>
    <x v="2"/>
    <n v="103313"/>
    <n v="100653"/>
    <n v="95635"/>
    <m/>
    <n v="-5018"/>
    <x v="17"/>
  </r>
  <r>
    <x v="1"/>
    <x v="1"/>
    <n v="203354"/>
    <n v="141974"/>
    <n v="129190"/>
    <n v="1200"/>
    <n v="-11584"/>
    <x v="18"/>
  </r>
  <r>
    <x v="1"/>
    <x v="3"/>
    <n v="105258"/>
    <n v="105258"/>
    <n v="104250"/>
    <m/>
    <n v="-1008"/>
    <x v="19"/>
  </r>
  <r>
    <x v="1"/>
    <x v="4"/>
    <m/>
    <m/>
    <n v="-1000"/>
    <m/>
    <m/>
    <x v="20"/>
  </r>
  <r>
    <x v="1"/>
    <x v="5"/>
    <m/>
    <s v="TOTAL"/>
    <n v="530230"/>
    <n v="1200"/>
    <n v="-17610"/>
    <x v="5"/>
  </r>
  <r>
    <x v="6"/>
    <x v="0"/>
    <m/>
    <n v="188687"/>
    <n v="188685"/>
    <m/>
    <n v="-2"/>
    <x v="5"/>
  </r>
  <r>
    <x v="1"/>
    <x v="2"/>
    <n v="207195"/>
    <n v="197860"/>
    <n v="197425"/>
    <m/>
    <n v="-435"/>
    <x v="21"/>
  </r>
  <r>
    <x v="1"/>
    <x v="1"/>
    <n v="174395"/>
    <n v="174395"/>
    <n v="362125"/>
    <m/>
    <n v="187730"/>
    <x v="22"/>
  </r>
  <r>
    <x v="1"/>
    <x v="3"/>
    <n v="177263"/>
    <n v="173263"/>
    <n v="172850"/>
    <m/>
    <n v="-413"/>
    <x v="23"/>
  </r>
  <r>
    <x v="1"/>
    <x v="4"/>
    <m/>
    <m/>
    <n v="3855"/>
    <m/>
    <m/>
    <x v="24"/>
  </r>
  <r>
    <x v="1"/>
    <x v="5"/>
    <m/>
    <s v="TOTAL"/>
    <n v="924940"/>
    <n v="0"/>
    <n v="186880"/>
    <x v="5"/>
  </r>
  <r>
    <x v="7"/>
    <x v="0"/>
    <m/>
    <n v="242992"/>
    <n v="242000"/>
    <m/>
    <n v="-992"/>
    <x v="5"/>
  </r>
  <r>
    <x v="1"/>
    <x v="2"/>
    <n v="167296"/>
    <n v="157901"/>
    <n v="149386"/>
    <n v="1500"/>
    <n v="-7015"/>
    <x v="25"/>
  </r>
  <r>
    <x v="1"/>
    <x v="1"/>
    <n v="259856"/>
    <n v="245716"/>
    <n v="221350"/>
    <n v="1000"/>
    <n v="-23366"/>
    <x v="26"/>
  </r>
  <r>
    <x v="1"/>
    <x v="3"/>
    <n v="196842"/>
    <n v="195537"/>
    <n v="195520"/>
    <m/>
    <n v="-17"/>
    <x v="27"/>
  </r>
  <r>
    <x v="1"/>
    <x v="4"/>
    <m/>
    <m/>
    <n v="500"/>
    <m/>
    <m/>
    <x v="28"/>
  </r>
  <r>
    <x v="1"/>
    <x v="5"/>
    <n v="623994"/>
    <s v="TOTAL"/>
    <n v="808756"/>
    <n v="2500"/>
    <n v="-31390"/>
    <x v="5"/>
  </r>
  <r>
    <x v="8"/>
    <x v="0"/>
    <m/>
    <n v="250946"/>
    <n v="215900"/>
    <m/>
    <n v="-35046"/>
    <x v="29"/>
  </r>
  <r>
    <x v="1"/>
    <x v="2"/>
    <n v="175503"/>
    <n v="173478"/>
    <n v="172188"/>
    <n v="1000"/>
    <n v="-290"/>
    <x v="30"/>
  </r>
  <r>
    <x v="1"/>
    <x v="1"/>
    <n v="62831"/>
    <n v="59591"/>
    <n v="58681"/>
    <n v="910"/>
    <n v="0"/>
    <x v="31"/>
  </r>
  <r>
    <x v="1"/>
    <x v="3"/>
    <n v="244360"/>
    <n v="242360"/>
    <n v="240545"/>
    <n v="1000"/>
    <n v="-815"/>
    <x v="32"/>
  </r>
  <r>
    <x v="1"/>
    <x v="4"/>
    <m/>
    <m/>
    <n v="950"/>
    <m/>
    <n v="0"/>
    <x v="33"/>
  </r>
  <r>
    <x v="1"/>
    <x v="5"/>
    <m/>
    <s v="TOTAL"/>
    <n v="688264"/>
    <n v="2910"/>
    <n v="-36151"/>
    <x v="5"/>
  </r>
  <r>
    <x v="9"/>
    <x v="0"/>
    <m/>
    <n v="261456"/>
    <n v="224000"/>
    <m/>
    <n v="-37456"/>
    <x v="34"/>
  </r>
  <r>
    <x v="1"/>
    <x v="2"/>
    <n v="110548"/>
    <n v="110548"/>
    <n v="110450"/>
    <n v="100"/>
    <n v="2"/>
    <x v="35"/>
  </r>
  <r>
    <x v="1"/>
    <x v="1"/>
    <n v="162376"/>
    <n v="140249"/>
    <n v="117089"/>
    <n v="0"/>
    <n v="-23160"/>
    <x v="36"/>
  </r>
  <r>
    <x v="1"/>
    <x v="3"/>
    <n v="102319"/>
    <n v="102319"/>
    <n v="101449"/>
    <m/>
    <n v="-870"/>
    <x v="37"/>
  </r>
  <r>
    <x v="1"/>
    <x v="4"/>
    <m/>
    <m/>
    <n v="-5000"/>
    <m/>
    <m/>
    <x v="38"/>
  </r>
  <r>
    <x v="1"/>
    <x v="5"/>
    <m/>
    <s v="TOTAL"/>
    <n v="547988"/>
    <n v="100"/>
    <n v="-61484"/>
    <x v="5"/>
  </r>
  <r>
    <x v="10"/>
    <x v="0"/>
    <m/>
    <n v="244059"/>
    <n v="267560"/>
    <m/>
    <n v="23501"/>
    <x v="39"/>
  </r>
  <r>
    <x v="1"/>
    <x v="2"/>
    <n v="152180"/>
    <n v="151950"/>
    <n v="148640"/>
    <n v="1000"/>
    <n v="-2310"/>
    <x v="40"/>
  </r>
  <r>
    <x v="1"/>
    <x v="1"/>
    <n v="215469"/>
    <n v="182259"/>
    <n v="132100"/>
    <m/>
    <n v="-50159"/>
    <x v="41"/>
  </r>
  <r>
    <x v="1"/>
    <x v="3"/>
    <n v="88663"/>
    <n v="79932"/>
    <n v="78937"/>
    <n v="850"/>
    <n v="-145"/>
    <x v="42"/>
  </r>
  <r>
    <x v="1"/>
    <x v="4"/>
    <m/>
    <m/>
    <n v="580"/>
    <n v="17000"/>
    <m/>
    <x v="43"/>
  </r>
  <r>
    <x v="1"/>
    <x v="5"/>
    <m/>
    <s v="TOTAL"/>
    <n v="627817"/>
    <n v="18850"/>
    <n v="-29113"/>
    <x v="5"/>
  </r>
  <r>
    <x v="11"/>
    <x v="0"/>
    <m/>
    <n v="225844"/>
    <n v="224845"/>
    <m/>
    <n v="-999"/>
    <x v="5"/>
  </r>
  <r>
    <x v="1"/>
    <x v="2"/>
    <n v="163931"/>
    <n v="154181"/>
    <n v="181457"/>
    <m/>
    <n v="27276"/>
    <x v="44"/>
  </r>
  <r>
    <x v="1"/>
    <x v="1"/>
    <n v="155126"/>
    <n v="152811"/>
    <n v="152376"/>
    <m/>
    <n v="-435"/>
    <x v="45"/>
  </r>
  <r>
    <x v="1"/>
    <x v="3"/>
    <n v="10313"/>
    <n v="103973"/>
    <n v="103828"/>
    <m/>
    <n v="-145"/>
    <x v="46"/>
  </r>
  <r>
    <x v="1"/>
    <x v="4"/>
    <m/>
    <m/>
    <n v="-656"/>
    <n v="5400"/>
    <n v="0"/>
    <x v="47"/>
  </r>
  <r>
    <x v="1"/>
    <x v="5"/>
    <m/>
    <s v="TOTAL"/>
    <n v="661850"/>
    <n v="5400"/>
    <n v="25697"/>
    <x v="5"/>
  </r>
  <r>
    <x v="12"/>
    <x v="0"/>
    <m/>
    <n v="231920"/>
    <n v="220920"/>
    <m/>
    <n v="-11000"/>
    <x v="48"/>
  </r>
  <r>
    <x v="1"/>
    <x v="2"/>
    <n v="172137"/>
    <n v="168352"/>
    <n v="166062"/>
    <n v="2000"/>
    <n v="-290"/>
    <x v="49"/>
  </r>
  <r>
    <x v="1"/>
    <x v="1"/>
    <n v="203430"/>
    <n v="189970"/>
    <n v="185975"/>
    <n v="3000"/>
    <n v="-995"/>
    <x v="50"/>
  </r>
  <r>
    <x v="1"/>
    <x v="3"/>
    <n v="254027"/>
    <n v="254027"/>
    <n v="253157"/>
    <m/>
    <n v="-870"/>
    <x v="51"/>
  </r>
  <r>
    <x v="1"/>
    <x v="4"/>
    <m/>
    <m/>
    <n v="30085"/>
    <m/>
    <n v="0"/>
    <x v="52"/>
  </r>
  <r>
    <x v="1"/>
    <x v="5"/>
    <m/>
    <s v="TOTAL"/>
    <n v="856199"/>
    <n v="5000"/>
    <n v="-13155"/>
    <x v="5"/>
  </r>
  <r>
    <x v="13"/>
    <x v="0"/>
    <m/>
    <n v="595800"/>
    <n v="606800"/>
    <m/>
    <n v="11000"/>
    <x v="53"/>
  </r>
  <r>
    <x v="1"/>
    <x v="2"/>
    <n v="111329"/>
    <n v="109865"/>
    <n v="96550"/>
    <n v="13300"/>
    <n v="-15"/>
    <x v="54"/>
  </r>
  <r>
    <x v="1"/>
    <x v="1"/>
    <n v="220341"/>
    <n v="174530"/>
    <n v="173250"/>
    <n v="1000"/>
    <n v="-280"/>
    <x v="55"/>
  </r>
  <r>
    <x v="1"/>
    <x v="3"/>
    <m/>
    <n v="145345"/>
    <n v="144310"/>
    <n v="1000"/>
    <n v="-35"/>
    <x v="56"/>
  </r>
  <r>
    <x v="1"/>
    <x v="4"/>
    <m/>
    <m/>
    <n v="-48000"/>
    <n v="10000"/>
    <m/>
    <x v="57"/>
  </r>
  <r>
    <x v="1"/>
    <x v="5"/>
    <m/>
    <s v="TOTAL"/>
    <n v="972910"/>
    <n v="25300"/>
    <n v="10670"/>
    <x v="5"/>
  </r>
  <r>
    <x v="14"/>
    <x v="0"/>
    <m/>
    <n v="175028"/>
    <n v="173960"/>
    <m/>
    <n v="-1068"/>
    <x v="58"/>
  </r>
  <r>
    <x v="1"/>
    <x v="2"/>
    <n v="167985"/>
    <n v="166835"/>
    <n v="166345"/>
    <m/>
    <n v="-490"/>
    <x v="59"/>
  </r>
  <r>
    <x v="1"/>
    <x v="1"/>
    <m/>
    <n v="156993"/>
    <n v="157710"/>
    <m/>
    <n v="717"/>
    <x v="5"/>
  </r>
  <r>
    <x v="1"/>
    <x v="3"/>
    <m/>
    <n v="213969"/>
    <n v="186345"/>
    <m/>
    <n v="-27624"/>
    <x v="60"/>
  </r>
  <r>
    <x v="1"/>
    <x v="4"/>
    <m/>
    <m/>
    <m/>
    <n v="7000"/>
    <m/>
    <x v="61"/>
  </r>
  <r>
    <x v="1"/>
    <x v="5"/>
    <m/>
    <s v="TOTAL"/>
    <n v="684360"/>
    <n v="7000"/>
    <n v="-28465"/>
    <x v="5"/>
  </r>
  <r>
    <x v="15"/>
    <x v="0"/>
    <m/>
    <n v="191654"/>
    <n v="191655"/>
    <m/>
    <n v="1"/>
    <x v="5"/>
  </r>
  <r>
    <x v="1"/>
    <x v="2"/>
    <n v="126862"/>
    <n v="125485"/>
    <n v="125480"/>
    <m/>
    <n v="-5"/>
    <x v="62"/>
  </r>
  <r>
    <x v="1"/>
    <x v="1"/>
    <n v="170749"/>
    <n v="149828"/>
    <n v="83315"/>
    <n v="250"/>
    <n v="-66263"/>
    <x v="63"/>
  </r>
  <r>
    <x v="1"/>
    <x v="3"/>
    <n v="53547"/>
    <n v="53263"/>
    <n v="46170"/>
    <m/>
    <n v="-7093"/>
    <x v="64"/>
  </r>
  <r>
    <x v="1"/>
    <x v="4"/>
    <m/>
    <m/>
    <n v="55330"/>
    <n v="4000"/>
    <n v="59330"/>
    <x v="65"/>
  </r>
  <r>
    <x v="1"/>
    <x v="5"/>
    <m/>
    <s v="TOTAL"/>
    <n v="501950"/>
    <n v="4250"/>
    <n v="-14030"/>
    <x v="5"/>
  </r>
  <r>
    <x v="16"/>
    <x v="0"/>
    <m/>
    <n v="202877"/>
    <n v="202875"/>
    <m/>
    <n v="-2"/>
    <x v="5"/>
  </r>
  <r>
    <x v="16"/>
    <x v="2"/>
    <n v="151037"/>
    <n v="145142"/>
    <n v="144852"/>
    <n v="0"/>
    <n v="-290"/>
    <x v="66"/>
  </r>
  <r>
    <x v="16"/>
    <x v="1"/>
    <n v="274287"/>
    <n v="273805"/>
    <n v="273805"/>
    <m/>
    <n v="0"/>
    <x v="67"/>
  </r>
  <r>
    <x v="16"/>
    <x v="3"/>
    <n v="239841"/>
    <n v="237841"/>
    <n v="236476"/>
    <n v="1200"/>
    <n v="-165"/>
    <x v="68"/>
  </r>
  <r>
    <x v="16"/>
    <x v="4"/>
    <m/>
    <m/>
    <n v="39625"/>
    <m/>
    <n v="39625"/>
    <x v="69"/>
  </r>
  <r>
    <x v="1"/>
    <x v="5"/>
    <m/>
    <s v="TOTAL"/>
    <n v="897633"/>
    <n v="1200"/>
    <n v="39168"/>
    <x v="5"/>
  </r>
  <r>
    <x v="17"/>
    <x v="0"/>
    <m/>
    <n v="180157"/>
    <n v="160150"/>
    <m/>
    <n v="-20007"/>
    <x v="70"/>
  </r>
  <r>
    <x v="1"/>
    <x v="2"/>
    <n v="153797"/>
    <n v="134272"/>
    <n v="133107"/>
    <n v="1000"/>
    <n v="-165"/>
    <x v="71"/>
  </r>
  <r>
    <x v="1"/>
    <x v="1"/>
    <n v="402788"/>
    <n v="398567"/>
    <n v="378225"/>
    <m/>
    <n v="-20342"/>
    <x v="72"/>
  </r>
  <r>
    <x v="1"/>
    <x v="3"/>
    <n v="168747"/>
    <n v="168747"/>
    <n v="168640"/>
    <m/>
    <n v="-107"/>
    <x v="5"/>
  </r>
  <r>
    <x v="1"/>
    <x v="4"/>
    <m/>
    <m/>
    <n v="2100"/>
    <n v="7900"/>
    <n v="10000"/>
    <x v="73"/>
  </r>
  <r>
    <x v="1"/>
    <x v="5"/>
    <m/>
    <s v="TOTAL"/>
    <n v="842222"/>
    <n v="8900"/>
    <n v="-30621"/>
    <x v="5"/>
  </r>
  <r>
    <x v="18"/>
    <x v="0"/>
    <m/>
    <n v="176527"/>
    <n v="196527"/>
    <m/>
    <n v="20000"/>
    <x v="74"/>
  </r>
  <r>
    <x v="1"/>
    <x v="2"/>
    <n v="144286"/>
    <n v="133806"/>
    <n v="134700"/>
    <m/>
    <n v="894"/>
    <x v="75"/>
  </r>
  <r>
    <x v="1"/>
    <x v="1"/>
    <n v="221824"/>
    <n v="218459"/>
    <n v="202240"/>
    <n v="1000"/>
    <n v="-15219"/>
    <x v="76"/>
  </r>
  <r>
    <x v="1"/>
    <x v="3"/>
    <n v="371450"/>
    <n v="371450"/>
    <n v="295775"/>
    <n v="1000"/>
    <n v="-74675"/>
    <x v="77"/>
  </r>
  <r>
    <x v="1"/>
    <x v="4"/>
    <m/>
    <m/>
    <m/>
    <m/>
    <n v="0"/>
    <x v="5"/>
  </r>
  <r>
    <x v="1"/>
    <x v="5"/>
    <m/>
    <s v="TOTAL"/>
    <n v="829242"/>
    <n v="2000"/>
    <n v="-69000"/>
    <x v="5"/>
  </r>
  <r>
    <x v="19"/>
    <x v="0"/>
    <m/>
    <n v="234338"/>
    <n v="233790"/>
    <m/>
    <n v="-548"/>
    <x v="78"/>
  </r>
  <r>
    <x v="19"/>
    <x v="2"/>
    <n v="137240"/>
    <n v="120465"/>
    <n v="120465"/>
    <m/>
    <n v="0"/>
    <x v="79"/>
  </r>
  <r>
    <x v="19"/>
    <x v="1"/>
    <n v="211815"/>
    <n v="211815"/>
    <n v="226300"/>
    <m/>
    <n v="14485"/>
    <x v="80"/>
  </r>
  <r>
    <x v="19"/>
    <x v="3"/>
    <n v="132662"/>
    <n v="132662"/>
    <n v="132630"/>
    <m/>
    <n v="-32"/>
    <x v="5"/>
  </r>
  <r>
    <x v="19"/>
    <x v="4"/>
    <m/>
    <m/>
    <m/>
    <m/>
    <n v="0"/>
    <x v="5"/>
  </r>
  <r>
    <x v="1"/>
    <x v="5"/>
    <m/>
    <s v="TOTAL"/>
    <n v="713185"/>
    <n v="0"/>
    <n v="13905"/>
    <x v="5"/>
  </r>
  <r>
    <x v="20"/>
    <x v="0"/>
    <m/>
    <n v="150035"/>
    <n v="150585"/>
    <m/>
    <n v="550"/>
    <x v="81"/>
  </r>
  <r>
    <x v="20"/>
    <x v="2"/>
    <n v="160995"/>
    <n v="153140"/>
    <n v="153125"/>
    <m/>
    <n v="-15"/>
    <x v="82"/>
  </r>
  <r>
    <x v="20"/>
    <x v="1"/>
    <n v="50582"/>
    <n v="50582"/>
    <n v="50580"/>
    <m/>
    <n v="-2"/>
    <x v="83"/>
  </r>
  <r>
    <x v="20"/>
    <x v="3"/>
    <n v="149671"/>
    <n v="149671"/>
    <n v="149645"/>
    <m/>
    <n v="-26"/>
    <x v="5"/>
  </r>
  <r>
    <x v="20"/>
    <x v="4"/>
    <m/>
    <m/>
    <n v="74665"/>
    <m/>
    <m/>
    <x v="84"/>
  </r>
  <r>
    <x v="1"/>
    <x v="5"/>
    <m/>
    <s v="TOTAL"/>
    <n v="578600"/>
    <n v="0"/>
    <n v="507"/>
    <x v="5"/>
  </r>
  <r>
    <x v="21"/>
    <x v="0"/>
    <m/>
    <n v="200061"/>
    <n v="200060"/>
    <m/>
    <n v="-1"/>
    <x v="5"/>
  </r>
  <r>
    <x v="21"/>
    <x v="2"/>
    <n v="120321"/>
    <n v="120321"/>
    <n v="120321"/>
    <m/>
    <n v="0"/>
    <x v="5"/>
  </r>
  <r>
    <x v="21"/>
    <x v="1"/>
    <n v="125100"/>
    <n v="124695"/>
    <n v="97600"/>
    <m/>
    <n v="-27095"/>
    <x v="85"/>
  </r>
  <r>
    <x v="21"/>
    <x v="3"/>
    <n v="55253"/>
    <n v="53528"/>
    <n v="51540"/>
    <n v="1000"/>
    <n v="-988"/>
    <x v="86"/>
  </r>
  <r>
    <x v="21"/>
    <x v="4"/>
    <m/>
    <m/>
    <n v="-1500"/>
    <n v="1500"/>
    <n v="0"/>
    <x v="87"/>
  </r>
  <r>
    <x v="1"/>
    <x v="5"/>
    <m/>
    <s v="TOTAL"/>
    <n v="468021"/>
    <n v="2500"/>
    <n v="-28084"/>
    <x v="5"/>
  </r>
  <r>
    <x v="22"/>
    <x v="0"/>
    <m/>
    <n v="180627"/>
    <n v="180625"/>
    <m/>
    <n v="-2"/>
    <x v="5"/>
  </r>
  <r>
    <x v="22"/>
    <x v="2"/>
    <n v="134977"/>
    <n v="133513"/>
    <n v="133110"/>
    <m/>
    <n v="-403"/>
    <x v="88"/>
  </r>
  <r>
    <x v="22"/>
    <x v="1"/>
    <n v="165182"/>
    <n v="160292"/>
    <n v="159240"/>
    <m/>
    <n v="-1052"/>
    <x v="89"/>
  </r>
  <r>
    <x v="22"/>
    <x v="3"/>
    <n v="96151"/>
    <n v="96151"/>
    <n v="96050"/>
    <m/>
    <n v="-101"/>
    <x v="90"/>
  </r>
  <r>
    <x v="22"/>
    <x v="4"/>
    <m/>
    <m/>
    <n v="-32000"/>
    <n v="30000"/>
    <m/>
    <x v="91"/>
  </r>
  <r>
    <x v="1"/>
    <x v="5"/>
    <m/>
    <s v="TOTAL"/>
    <n v="537025"/>
    <n v="30000"/>
    <n v="-1558"/>
    <x v="5"/>
  </r>
  <r>
    <x v="23"/>
    <x v="0"/>
    <m/>
    <n v="197108"/>
    <n v="197125"/>
    <m/>
    <n v="17"/>
    <x v="5"/>
  </r>
  <r>
    <x v="23"/>
    <x v="2"/>
    <n v="123557"/>
    <n v="114957"/>
    <n v="113567"/>
    <n v="1100"/>
    <n v="-290"/>
    <x v="92"/>
  </r>
  <r>
    <x v="23"/>
    <x v="1"/>
    <n v="91625"/>
    <n v="89705"/>
    <n v="89695"/>
    <m/>
    <n v="-10"/>
    <x v="93"/>
  </r>
  <r>
    <x v="23"/>
    <x v="3"/>
    <n v="91586"/>
    <n v="91586"/>
    <n v="90525"/>
    <n v="1000"/>
    <n v="-61"/>
    <x v="56"/>
  </r>
  <r>
    <x v="23"/>
    <x v="4"/>
    <m/>
    <m/>
    <n v="15925"/>
    <m/>
    <m/>
    <x v="94"/>
  </r>
  <r>
    <x v="1"/>
    <x v="5"/>
    <m/>
    <s v="TOTAL"/>
    <n v="506837"/>
    <n v="2100"/>
    <n v="-344"/>
    <x v="5"/>
  </r>
  <r>
    <x v="24"/>
    <x v="0"/>
    <m/>
    <n v="135453"/>
    <n v="129200"/>
    <m/>
    <n v="-6253"/>
    <x v="95"/>
  </r>
  <r>
    <x v="24"/>
    <x v="2"/>
    <n v="181752"/>
    <n v="179602"/>
    <n v="177157"/>
    <n v="1000"/>
    <n v="-1445"/>
    <x v="96"/>
  </r>
  <r>
    <x v="24"/>
    <x v="1"/>
    <n v="287185"/>
    <n v="285385"/>
    <n v="285385"/>
    <m/>
    <n v="0"/>
    <x v="97"/>
  </r>
  <r>
    <x v="24"/>
    <x v="3"/>
    <n v="249655"/>
    <n v="245655"/>
    <n v="245625"/>
    <m/>
    <n v="-30"/>
    <x v="5"/>
  </r>
  <r>
    <x v="24"/>
    <x v="4"/>
    <m/>
    <m/>
    <n v="17055"/>
    <m/>
    <m/>
    <x v="98"/>
  </r>
  <r>
    <x v="1"/>
    <x v="5"/>
    <m/>
    <s v="TOTAL"/>
    <n v="854422"/>
    <n v="1000"/>
    <n v="-7728"/>
    <x v="5"/>
  </r>
  <r>
    <x v="25"/>
    <x v="0"/>
    <m/>
    <n v="187412"/>
    <n v="187350"/>
    <m/>
    <n v="-62"/>
    <x v="5"/>
  </r>
  <r>
    <x v="25"/>
    <x v="2"/>
    <n v="125784"/>
    <n v="106259"/>
    <n v="106255"/>
    <m/>
    <n v="-4"/>
    <x v="99"/>
  </r>
  <r>
    <x v="25"/>
    <x v="1"/>
    <n v="162203"/>
    <n v="205203"/>
    <n v="204390"/>
    <n v="800"/>
    <n v="-13"/>
    <x v="100"/>
  </r>
  <r>
    <x v="25"/>
    <x v="3"/>
    <n v="93746"/>
    <n v="93746"/>
    <n v="93745"/>
    <m/>
    <n v="-1"/>
    <x v="5"/>
  </r>
  <r>
    <x v="25"/>
    <x v="4"/>
    <m/>
    <m/>
    <n v="4325"/>
    <m/>
    <n v="4325"/>
    <x v="101"/>
  </r>
  <r>
    <x v="1"/>
    <x v="5"/>
    <m/>
    <s v="TOTAL"/>
    <n v="596065"/>
    <n v="800"/>
    <n v="4245"/>
    <x v="5"/>
  </r>
  <r>
    <x v="26"/>
    <x v="0"/>
    <m/>
    <n v="161637"/>
    <n v="161630"/>
    <m/>
    <n v="-7"/>
    <x v="5"/>
  </r>
  <r>
    <x v="26"/>
    <x v="2"/>
    <n v="108134"/>
    <n v="108134"/>
    <n v="108120"/>
    <m/>
    <n v="-14"/>
    <x v="5"/>
  </r>
  <r>
    <x v="26"/>
    <x v="1"/>
    <n v="76535"/>
    <n v="76535"/>
    <n v="76530"/>
    <m/>
    <n v="-5"/>
    <x v="5"/>
  </r>
  <r>
    <x v="26"/>
    <x v="3"/>
    <n v="214735"/>
    <n v="192550"/>
    <n v="191700"/>
    <n v="1850"/>
    <n v="1000"/>
    <x v="102"/>
  </r>
  <r>
    <x v="26"/>
    <x v="4"/>
    <m/>
    <m/>
    <m/>
    <m/>
    <m/>
    <x v="5"/>
  </r>
  <r>
    <x v="1"/>
    <x v="5"/>
    <m/>
    <s v="TOTAL"/>
    <n v="537980"/>
    <n v="1850"/>
    <n v="974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4">
  <r>
    <x v="0"/>
    <x v="0"/>
    <m/>
    <n v="126033"/>
    <n v="126033"/>
    <m/>
    <m/>
    <m/>
  </r>
  <r>
    <x v="1"/>
    <x v="1"/>
    <n v="86249"/>
    <n v="84209"/>
    <n v="82200"/>
    <n v="2000"/>
    <n v="-9"/>
    <s v="2000 da houri Iveco, 2040 retour"/>
  </r>
  <r>
    <x v="1"/>
    <x v="2"/>
    <n v="128536"/>
    <n v="125571"/>
    <n v="119715"/>
    <n v="5800"/>
    <n v="-56"/>
    <s v="5800 wassim vespa, 2975 retour"/>
  </r>
  <r>
    <x v="1"/>
    <x v="3"/>
    <n v="66154"/>
    <n v="86804"/>
    <n v="86800"/>
    <m/>
    <n v="-4"/>
    <m/>
  </r>
  <r>
    <x v="1"/>
    <x v="4"/>
    <m/>
    <s v="TOTAL"/>
    <n v="414748"/>
    <n v="7800"/>
    <n v="-69"/>
    <m/>
  </r>
  <r>
    <x v="2"/>
    <x v="0"/>
    <m/>
    <n v="118622"/>
    <n v="118622"/>
    <m/>
    <n v="0"/>
    <m/>
  </r>
  <r>
    <x v="1"/>
    <x v="1"/>
    <n v="173435"/>
    <n v="173435"/>
    <n v="172935"/>
    <m/>
    <n v="-500"/>
    <s v="500 toufik, bougrassa versement 6440 da"/>
  </r>
  <r>
    <x v="1"/>
    <x v="2"/>
    <n v="166909"/>
    <n v="157840"/>
    <n v="157602"/>
    <n v="0"/>
    <n v="-238"/>
    <s v="8049 happy bleu annuler, retour, 230 vaisselle c.vert + gandines"/>
  </r>
  <r>
    <x v="1"/>
    <x v="3"/>
    <n v="203906"/>
    <n v="201836"/>
    <n v="196775"/>
    <n v="5000"/>
    <n v="-61"/>
    <s v="belkas transport, 14040 wahab gouraya payé, 2070 retour"/>
  </r>
  <r>
    <x v="1"/>
    <x v="4"/>
    <m/>
    <s v="TOTAL"/>
    <n v="645934"/>
    <n v="5000"/>
    <n v="-799"/>
    <m/>
  </r>
  <r>
    <x v="3"/>
    <x v="0"/>
    <m/>
    <n v="175693"/>
    <n v="175693"/>
    <m/>
    <n v="0"/>
    <m/>
  </r>
  <r>
    <x v="1"/>
    <x v="1"/>
    <n v="184874"/>
    <n v="179934"/>
    <n v="179934"/>
    <m/>
    <n v="0"/>
    <s v="4930 retour, vaisselle c.vert, grenadine"/>
  </r>
  <r>
    <x v="1"/>
    <x v="2"/>
    <n v="185665"/>
    <n v="185665"/>
    <n v="183705"/>
    <n v="1000"/>
    <n v="-960"/>
    <s v="980 différence, 17700 farouk payé"/>
  </r>
  <r>
    <x v="1"/>
    <x v="3"/>
    <n v="112915"/>
    <n v="112915"/>
    <n v="107915"/>
    <n v="5000"/>
    <n v="0"/>
    <s v="5000 da belkas"/>
  </r>
  <r>
    <x v="1"/>
    <x v="4"/>
    <m/>
    <s v="TOTAL"/>
    <n v="647247"/>
    <n v="6000"/>
    <n v="-960"/>
    <m/>
  </r>
  <r>
    <x v="4"/>
    <x v="0"/>
    <m/>
    <n v="113785"/>
    <n v="79650"/>
    <m/>
    <n v="-34135"/>
    <s v="34135 crédit mohamed"/>
  </r>
  <r>
    <x v="1"/>
    <x v="5"/>
    <n v="275184"/>
    <n v="273084"/>
    <n v="272035"/>
    <n v="900"/>
    <n v="-149"/>
    <s v="150 diff vaisselle, 900 glaciol"/>
  </r>
  <r>
    <x v="1"/>
    <x v="2"/>
    <n v="182833"/>
    <n v="166693"/>
    <n v="166699"/>
    <m/>
    <n v="6"/>
    <s v="16140 retour fermé,"/>
  </r>
  <r>
    <x v="1"/>
    <x v="1"/>
    <n v="40819"/>
    <n v="38794"/>
    <n v="38250"/>
    <n v="500"/>
    <n v="-44"/>
    <s v="500 Gasoil"/>
  </r>
  <r>
    <x v="1"/>
    <x v="4"/>
    <m/>
    <s v="TOTAL"/>
    <n v="556634"/>
    <n v="1400"/>
    <n v="-34322"/>
    <m/>
  </r>
  <r>
    <x v="5"/>
    <x v="0"/>
    <m/>
    <n v="228208"/>
    <n v="240000"/>
    <m/>
    <n v="11792"/>
    <s v="22343 reste mohamed"/>
  </r>
  <r>
    <x v="1"/>
    <x v="2"/>
    <n v="108119"/>
    <n v="108119"/>
    <n v="107030"/>
    <n v="1000"/>
    <n v="-89"/>
    <s v="85 vaisselle c.vert"/>
  </r>
  <r>
    <x v="1"/>
    <x v="1"/>
    <n v="184674"/>
    <n v="148180"/>
    <n v="148175"/>
    <m/>
    <n v="-5"/>
    <s v="18494 rahma, 15000 la famille, 3000 abas"/>
  </r>
  <r>
    <x v="1"/>
    <x v="3"/>
    <n v="79396"/>
    <n v="79396"/>
    <n v="76385"/>
    <n v="3000"/>
    <n v="-11"/>
    <s v="2000 boxer fisal, 1000 gasoil"/>
  </r>
  <r>
    <x v="1"/>
    <x v="4"/>
    <m/>
    <s v="TOTAL"/>
    <n v="571590"/>
    <n v="4000"/>
    <n v="11687"/>
    <m/>
  </r>
  <r>
    <x v="6"/>
    <x v="0"/>
    <m/>
    <n v="207014"/>
    <n v="229400"/>
    <m/>
    <n v="22386"/>
    <s v="50 da zyada, crédit payé"/>
  </r>
  <r>
    <x v="1"/>
    <x v="2"/>
    <n v="121135"/>
    <n v="120730"/>
    <n v="120730"/>
    <m/>
    <n v="0"/>
    <s v="1460 vente au dépôts"/>
  </r>
  <r>
    <x v="1"/>
    <x v="1"/>
    <n v="226259"/>
    <n v="225003"/>
    <n v="215453"/>
    <n v="9550"/>
    <n v="0"/>
    <s v="300 ABAS PAYE, 5550 électricité, 4000 Clark"/>
  </r>
  <r>
    <x v="1"/>
    <x v="3"/>
    <n v="190558"/>
    <n v="71418"/>
    <n v="70415"/>
    <n v="1000"/>
    <n v="-3"/>
    <s v="gasoil, 3975 retour"/>
  </r>
  <r>
    <x v="1"/>
    <x v="4"/>
    <m/>
    <s v="TOTAL"/>
    <n v="635998"/>
    <n v="10550"/>
    <n v="22383"/>
    <m/>
  </r>
  <r>
    <x v="7"/>
    <x v="0"/>
    <m/>
    <n v="154631"/>
    <n v="154600"/>
    <m/>
    <n v="-31"/>
    <m/>
  </r>
  <r>
    <x v="1"/>
    <x v="2"/>
    <n v="182568"/>
    <n v="177591"/>
    <n v="176600"/>
    <n v="1000"/>
    <n v="9"/>
    <s v="950 vente 10L Marseille, 1000 da gasoil"/>
  </r>
  <r>
    <x v="1"/>
    <x v="1"/>
    <n v="232349"/>
    <n v="232304"/>
    <n v="145565"/>
    <n v="500"/>
    <n v="-86239"/>
    <s v="16020 Lyn, 70215 GM, 500 Gasoil"/>
  </r>
  <r>
    <x v="1"/>
    <x v="3"/>
    <n v="83306"/>
    <n v="81842"/>
    <n v="79940"/>
    <m/>
    <n v="-1902"/>
    <s v="1464 retour, 2850 Hocine Nador, 950 vente dépôts"/>
  </r>
  <r>
    <x v="1"/>
    <x v="4"/>
    <m/>
    <s v="TOTAL"/>
    <n v="556705"/>
    <n v="1500"/>
    <n v="-88163"/>
    <m/>
  </r>
  <r>
    <x v="8"/>
    <x v="0"/>
    <m/>
    <n v="160488"/>
    <n v="160310"/>
    <m/>
    <n v="-178"/>
    <s v="5000 da vers Miloud ouhlima"/>
  </r>
  <r>
    <x v="1"/>
    <x v="2"/>
    <n v="163169"/>
    <n v="161099"/>
    <n v="161145"/>
    <m/>
    <n v="46"/>
    <s v="1 fermé"/>
  </r>
  <r>
    <x v="1"/>
    <x v="1"/>
    <n v="303240"/>
    <n v="303165"/>
    <n v="303010"/>
    <m/>
    <n v="-155"/>
    <s v="155 Toufik, 33010 boughrassa crédit"/>
  </r>
  <r>
    <x v="1"/>
    <x v="3"/>
    <n v="170554"/>
    <n v="166554"/>
    <n v="164790"/>
    <m/>
    <n v="-1764"/>
    <s v="1764 Reda, + 5000 da Reda"/>
  </r>
  <r>
    <x v="1"/>
    <x v="4"/>
    <m/>
    <s v="TOTAL"/>
    <n v="789255"/>
    <n v="0"/>
    <n v="-2051"/>
    <m/>
  </r>
  <r>
    <x v="9"/>
    <x v="0"/>
    <m/>
    <n v="140405"/>
    <n v="140305"/>
    <m/>
    <n v="-100"/>
    <s v="100000 Abdou, 100 da retour vaisselle 650"/>
  </r>
  <r>
    <x v="1"/>
    <x v="2"/>
    <n v="151331"/>
    <n v="148211"/>
    <n v="138130"/>
    <m/>
    <n v="-10081"/>
    <s v="10000 farouk kares, 85 vaisselle, 3120 retour"/>
  </r>
  <r>
    <x v="1"/>
    <x v="1"/>
    <n v="267488"/>
    <n v="266793"/>
    <n v="267330"/>
    <m/>
    <n v="537"/>
    <s v="155 da toufik payé + 380 acompte, 695 différence prix kheridine"/>
  </r>
  <r>
    <x v="1"/>
    <x v="3"/>
    <n v="84476"/>
    <n v="83296"/>
    <n v="41280"/>
    <n v="2000"/>
    <n v="-40016"/>
    <s v="40000 Rahim, 1000 gasoil, 1000 Faysal Iveco, 1180 retour"/>
  </r>
  <r>
    <x v="1"/>
    <x v="4"/>
    <m/>
    <s v="TOTAL"/>
    <n v="587045"/>
    <n v="2000"/>
    <n v="-49660"/>
    <m/>
  </r>
  <r>
    <x v="10"/>
    <x v="0"/>
    <m/>
    <n v="166932"/>
    <n v="116930"/>
    <m/>
    <n v="-50002"/>
    <s v="50000 Crédit moh"/>
  </r>
  <r>
    <x v="1"/>
    <x v="2"/>
    <n v="179893"/>
    <n v="142414"/>
    <n v="117410"/>
    <n v="25000"/>
    <n v="-4"/>
    <s v="37479 retour, 3 fermé, 25000 vespa"/>
  </r>
  <r>
    <x v="1"/>
    <x v="1"/>
    <n v="71037"/>
    <n v="69147"/>
    <n v="71247"/>
    <n v="0"/>
    <n v="2100"/>
    <s v="1890 retour, 2100 achat faress"/>
  </r>
  <r>
    <x v="1"/>
    <x v="3"/>
    <n v="192112"/>
    <n v="189808"/>
    <n v="188810"/>
    <n v="1000"/>
    <n v="2"/>
    <s v="1000 gasoil, 2304 retour"/>
  </r>
  <r>
    <x v="1"/>
    <x v="4"/>
    <m/>
    <s v="TOTAL"/>
    <n v="494397"/>
    <n v="26000"/>
    <n v="-47904"/>
    <m/>
  </r>
  <r>
    <x v="11"/>
    <x v="0"/>
    <m/>
    <n v="177930"/>
    <n v="177925"/>
    <m/>
    <n v="-5"/>
    <m/>
  </r>
  <r>
    <x v="1"/>
    <x v="2"/>
    <n v="175818"/>
    <n v="175818"/>
    <n v="171693"/>
    <m/>
    <n v="-4125"/>
    <s v="2025 dawed, 2100 amine"/>
  </r>
  <r>
    <x v="1"/>
    <x v="1"/>
    <n v="149093"/>
    <n v="149093"/>
    <n v="126833"/>
    <m/>
    <n v="-22260"/>
    <s v="4290 la famille, 17890 rahma"/>
  </r>
  <r>
    <x v="1"/>
    <x v="3"/>
    <n v="65737"/>
    <n v="65637"/>
    <n v="68487"/>
    <m/>
    <n v="2850"/>
    <s v="2850 Hocine Nador payé, 100 chiffon"/>
  </r>
  <r>
    <x v="1"/>
    <x v="4"/>
    <m/>
    <s v="TOTAL"/>
    <n v="544938"/>
    <n v="0"/>
    <n v="-23540"/>
    <m/>
  </r>
  <r>
    <x v="12"/>
    <x v="0"/>
    <m/>
    <n v="241856"/>
    <n v="241856"/>
    <m/>
    <n v="0"/>
    <m/>
  </r>
  <r>
    <x v="1"/>
    <x v="2"/>
    <n v="130056"/>
    <n v="128841"/>
    <n v="153220"/>
    <m/>
    <n v="24379"/>
    <s v="35 * 6 vaisselle grenadine, (4290 la famille, 17890 rahma) payé, 2000 amine payé, 235 vaiss 2l vendu"/>
  </r>
  <r>
    <x v="1"/>
    <x v="1"/>
    <n v="204578"/>
    <n v="203908"/>
    <n v="203770"/>
    <m/>
    <n v="-138"/>
    <s v="670 diff de prix, 138 toufik"/>
  </r>
  <r>
    <x v="1"/>
    <x v="3"/>
    <n v="105785"/>
    <n v="105785"/>
    <n v="104775"/>
    <n v="1000"/>
    <n v="-10"/>
    <s v="1000 da gasoil"/>
  </r>
  <r>
    <x v="1"/>
    <x v="4"/>
    <m/>
    <s v="TOTAL"/>
    <n v="703621"/>
    <n v="1000"/>
    <n v="24231"/>
    <m/>
  </r>
  <r>
    <x v="13"/>
    <x v="0"/>
    <m/>
    <n v="137298"/>
    <n v="137300"/>
    <m/>
    <n v="2"/>
    <m/>
  </r>
  <r>
    <x v="1"/>
    <x v="2"/>
    <n v="187708"/>
    <n v="174015"/>
    <n v="167450"/>
    <n v="1000"/>
    <n v="-5565"/>
    <s v="1000 GASOIL, 5559 sup amire mini marcket crédit, 13693 retour"/>
  </r>
  <r>
    <x v="1"/>
    <x v="1"/>
    <n v="95665"/>
    <n v="91780"/>
    <n v="99110"/>
    <n v="3910"/>
    <n v="11240"/>
    <s v="3910 houari boxer, 3780 retour, 105 diff prix GM, 1200 toufik crédit, 12440 vers gm1"/>
  </r>
  <r>
    <x v="1"/>
    <x v="3"/>
    <n v="112005"/>
    <n v="111600"/>
    <n v="145005"/>
    <n v="1000"/>
    <n v="34405"/>
    <s v="405 retour, 435 vente au dépôts, 22950 + 11020 (Eco marché, Lyn marcket)"/>
  </r>
  <r>
    <x v="1"/>
    <x v="4"/>
    <m/>
    <s v="TOTAL"/>
    <n v="548865"/>
    <n v="5910"/>
    <n v="40082"/>
    <m/>
  </r>
  <r>
    <x v="14"/>
    <x v="0"/>
    <m/>
    <n v="177119"/>
    <n v="177120"/>
    <m/>
    <n v="1"/>
    <m/>
  </r>
  <r>
    <x v="1"/>
    <x v="2"/>
    <n v="151649"/>
    <n v="150404"/>
    <n v="151800"/>
    <m/>
    <n v="1396"/>
    <s v="400 diffuseur Faysal, 1245 retour, 1000 da toufik payé"/>
  </r>
  <r>
    <x v="1"/>
    <x v="1"/>
    <n v="268003"/>
    <m/>
    <m/>
    <m/>
    <n v="0"/>
    <s v="• LIVREE PAR RAHIM"/>
  </r>
  <r>
    <x v="1"/>
    <x v="3"/>
    <m/>
    <n v="241559"/>
    <n v="240010"/>
    <n v="1500"/>
    <n v="-49"/>
    <s v="1000 Abdou gasoil, 500 GASOIL_x000a_• Livree par toufik"/>
  </r>
  <r>
    <x v="1"/>
    <x v="3"/>
    <n v="505252"/>
    <n v="257303"/>
    <n v="242820"/>
    <n v="5000"/>
    <n v="-9483"/>
    <s v="5000 da belkas, 9470 wahab gouraya crédit"/>
  </r>
  <r>
    <x v="1"/>
    <x v="4"/>
    <m/>
    <s v="TOTAL"/>
    <n v="811750"/>
    <n v="6500"/>
    <n v="-8135"/>
    <m/>
  </r>
  <r>
    <x v="15"/>
    <x v="0"/>
    <m/>
    <n v="219772"/>
    <n v="219770"/>
    <m/>
    <n v="-2"/>
    <m/>
  </r>
  <r>
    <x v="1"/>
    <x v="2"/>
    <n v="183576"/>
    <n v="174627"/>
    <n v="174430"/>
    <m/>
    <n v="-197"/>
    <s v="8920 RETOUR, 170 VAISSELLE "/>
  </r>
  <r>
    <x v="1"/>
    <x v="1"/>
    <n v="238617"/>
    <n v="236650"/>
    <n v="236620"/>
    <m/>
    <n v="-30"/>
    <s v="2270 RETOUR, 100 DIFF PRIX"/>
  </r>
  <r>
    <x v="1"/>
    <x v="3"/>
    <n v="215523"/>
    <n v="215523"/>
    <n v="210500"/>
    <m/>
    <n v="-5023"/>
    <s v="5000 DA REDA"/>
  </r>
  <r>
    <x v="1"/>
    <x v="6"/>
    <m/>
    <n v="10200"/>
    <n v="10200"/>
    <m/>
    <n v="0"/>
    <s v="5000 farouk kares, 4000 Faysal carton diffuseur, 1000 FARESS, 200 RAYAN GEL DOUCHE"/>
  </r>
  <r>
    <x v="1"/>
    <x v="4"/>
    <m/>
    <s v="TOTAL"/>
    <n v="851520"/>
    <n v="0"/>
    <n v="-5252"/>
    <m/>
  </r>
  <r>
    <x v="16"/>
    <x v="0"/>
    <m/>
    <n v="160583"/>
    <n v="160580"/>
    <m/>
    <n v="-3"/>
    <m/>
  </r>
  <r>
    <x v="1"/>
    <x v="2"/>
    <n v="189606"/>
    <n v="185195"/>
    <n v="138685"/>
    <m/>
    <n v="-46510"/>
    <s v="40000 khawa boharon, 6510 kousayla, 4385 retour fahad fermé"/>
  </r>
  <r>
    <x v="1"/>
    <x v="1"/>
    <n v="70033"/>
    <n v="69713"/>
    <n v="69700"/>
    <m/>
    <n v="-13"/>
    <s v="320 changement prix"/>
  </r>
  <r>
    <x v="1"/>
    <x v="3"/>
    <n v="232279"/>
    <n v="232179"/>
    <n v="231145"/>
    <n v="1000"/>
    <n v="-34"/>
    <s v="1000 gasoil"/>
  </r>
  <r>
    <x v="1"/>
    <x v="6"/>
    <m/>
    <m/>
    <n v="-4800"/>
    <m/>
    <n v="-4800"/>
    <s v="200 da toufik, 5000 DA BRAHIM"/>
  </r>
  <r>
    <x v="1"/>
    <x v="4"/>
    <m/>
    <s v="TOTAL"/>
    <n v="595310"/>
    <n v="1000"/>
    <n v="-51360"/>
    <m/>
  </r>
  <r>
    <x v="17"/>
    <x v="0"/>
    <m/>
    <n v="173109"/>
    <n v="171110"/>
    <m/>
    <n v="-1999"/>
    <s v="2000 DA MOHAMED CREDIT"/>
  </r>
  <r>
    <x v="1"/>
    <x v="2"/>
    <n v="149621"/>
    <n v="149621"/>
    <n v="149621"/>
    <m/>
    <n v="0"/>
    <m/>
  </r>
  <r>
    <x v="1"/>
    <x v="1"/>
    <n v="243131"/>
    <n v="201711"/>
    <n v="167250"/>
    <n v="3000"/>
    <n v="-31461"/>
    <s v="17730 mara3i, 13740 Abdelkrim balili, 3000 houari"/>
  </r>
  <r>
    <x v="1"/>
    <x v="3"/>
    <n v="82800"/>
    <n v="81336"/>
    <n v="80310"/>
    <n v="1000"/>
    <n v="-26"/>
    <s v="1000 da gasoil, 1464 retour"/>
  </r>
  <r>
    <x v="1"/>
    <x v="6"/>
    <m/>
    <n v="51535"/>
    <n v="51535"/>
    <m/>
    <n v="0"/>
    <s v="6510 kousayla, 40000 khawa boharone PAYE, dawed 2025, 3000 VENTE DEPOS"/>
  </r>
  <r>
    <x v="1"/>
    <x v="4"/>
    <m/>
    <s v="TOTAL"/>
    <n v="619826"/>
    <n v="4000"/>
    <n v="-33486"/>
    <m/>
  </r>
  <r>
    <x v="18"/>
    <x v="0"/>
    <m/>
    <n v="240703"/>
    <n v="240755"/>
    <m/>
    <n v="52"/>
    <s v="2000 da mohamed payé"/>
  </r>
  <r>
    <x v="1"/>
    <x v="2"/>
    <n v="204996"/>
    <n v="204176"/>
    <n v="180475"/>
    <n v="9880"/>
    <n v="-13821"/>
    <s v="1000 gasoil, 8880 assurance, 13780 ag Menouar"/>
  </r>
  <r>
    <x v="1"/>
    <x v="1"/>
    <n v="236401"/>
    <n v="234070"/>
    <n v="218065"/>
    <n v="1500"/>
    <n v="-14505"/>
    <s v="1500 parallélisme, 14505 proxy"/>
  </r>
  <r>
    <x v="1"/>
    <x v="3"/>
    <n v="150199"/>
    <n v="150199"/>
    <n v="149150"/>
    <n v="1000"/>
    <n v="-49"/>
    <s v="1000 gasoil"/>
  </r>
  <r>
    <x v="1"/>
    <x v="6"/>
    <m/>
    <n v="-88260"/>
    <n v="-88260"/>
    <m/>
    <n v="0"/>
    <s v="13740 Abdelkrim payé, 100000 Rahim, 2000 Abdou"/>
  </r>
  <r>
    <x v="1"/>
    <x v="4"/>
    <m/>
    <s v="TOTAL"/>
    <n v="700185"/>
    <n v="12380"/>
    <n v="-28323"/>
    <m/>
  </r>
  <r>
    <x v="19"/>
    <x v="0"/>
    <m/>
    <n v="202293"/>
    <n v="202195"/>
    <m/>
    <n v="-98"/>
    <m/>
  </r>
  <r>
    <x v="1"/>
    <x v="2"/>
    <n v="158571"/>
    <n v="150222"/>
    <n v="139915"/>
    <m/>
    <n v="-10307"/>
    <s v="10265 crédit atlas douaouda, 8349 retour 1 fermé"/>
  </r>
  <r>
    <x v="1"/>
    <x v="1"/>
    <m/>
    <n v="249114"/>
    <n v="249195"/>
    <m/>
    <n v="81"/>
    <s v="• livree par Abdou"/>
  </r>
  <r>
    <x v="1"/>
    <x v="1"/>
    <m/>
    <n v="122260"/>
    <n v="122260"/>
    <m/>
    <n v="0"/>
    <m/>
  </r>
  <r>
    <x v="1"/>
    <x v="3"/>
    <n v="88207"/>
    <n v="88207"/>
    <n v="88207"/>
    <m/>
    <n v="0"/>
    <m/>
  </r>
  <r>
    <x v="1"/>
    <x v="6"/>
    <m/>
    <n v="21485"/>
    <n v="21485"/>
    <m/>
    <n v="0"/>
    <s v="5560 amir mini marcket payé, 17925 GM family versement, 2000 rayan"/>
  </r>
  <r>
    <x v="1"/>
    <x v="4"/>
    <m/>
    <s v="TOTAL"/>
    <n v="823257"/>
    <n v="0"/>
    <n v="-10324"/>
    <m/>
  </r>
  <r>
    <x v="20"/>
    <x v="0"/>
    <m/>
    <n v="180537"/>
    <n v="180250"/>
    <m/>
    <n v="-287"/>
    <m/>
  </r>
  <r>
    <x v="1"/>
    <x v="2"/>
    <n v="132154"/>
    <n v="129484"/>
    <n v="121435"/>
    <m/>
    <n v="-8049"/>
    <s v="8050 fridi, 2670 retour"/>
  </r>
  <r>
    <x v="1"/>
    <x v="1"/>
    <n v="292046"/>
    <n v="291421"/>
    <n v="291421"/>
    <m/>
    <n v="0"/>
    <m/>
  </r>
  <r>
    <x v="1"/>
    <x v="3"/>
    <n v="215779"/>
    <n v="293782"/>
    <n v="291780"/>
    <n v="1000"/>
    <n v="-1002"/>
    <s v="1000 gasoil"/>
  </r>
  <r>
    <x v="1"/>
    <x v="6"/>
    <m/>
    <n v="19059"/>
    <n v="19059"/>
    <m/>
    <n v="0"/>
    <s v="5000 farouk, 13780 ag Menouar, 5279 boughrassa versement, 5000 DA REDA"/>
  </r>
  <r>
    <x v="1"/>
    <x v="4"/>
    <m/>
    <s v="TOTAL"/>
    <n v="903945"/>
    <n v="1000"/>
    <n v="-9338"/>
    <m/>
  </r>
  <r>
    <x v="21"/>
    <x v="0"/>
    <m/>
    <n v="204738"/>
    <n v="165000"/>
    <m/>
    <n v="-39738"/>
    <s v="39738 reste mohamed"/>
  </r>
  <r>
    <x v="1"/>
    <x v="2"/>
    <n v="119782"/>
    <n v="107122"/>
    <n v="76622"/>
    <n v="20500"/>
    <n v="-10000"/>
    <s v="12885 retour djamel kolea pas d'argent, 3000 électricien, 17500 imprimant, 10000 crédit farouk kares"/>
  </r>
  <r>
    <x v="1"/>
    <x v="1"/>
    <n v="214181"/>
    <n v="213386"/>
    <n v="213315"/>
    <m/>
    <n v="-71"/>
    <s v="35 vaisselle, 805 retour"/>
  </r>
  <r>
    <x v="1"/>
    <x v="3"/>
    <n v="123366"/>
    <n v="123366"/>
    <n v="122335"/>
    <n v="1000"/>
    <n v="-31"/>
    <s v="1000 gasoil"/>
  </r>
  <r>
    <x v="1"/>
    <x v="6"/>
    <m/>
    <m/>
    <m/>
    <m/>
    <n v="0"/>
    <m/>
  </r>
  <r>
    <x v="1"/>
    <x v="4"/>
    <m/>
    <s v="TOTAL"/>
    <n v="577272"/>
    <n v="21500"/>
    <n v="-49840"/>
    <m/>
  </r>
  <r>
    <x v="22"/>
    <x v="0"/>
    <m/>
    <n v="183690"/>
    <n v="223430"/>
    <m/>
    <n v="39740"/>
    <s v="39740 payé"/>
  </r>
  <r>
    <x v="1"/>
    <x v="2"/>
    <n v="174569"/>
    <n v="173159"/>
    <n v="167009"/>
    <m/>
    <n v="-6150"/>
    <s v="6150 2 frere crédit, 1410 retour"/>
  </r>
  <r>
    <x v="1"/>
    <x v="1"/>
    <n v="61251"/>
    <n v="61251"/>
    <n v="58330"/>
    <m/>
    <n v="-2921"/>
    <s v="2920 rahim"/>
  </r>
  <r>
    <x v="1"/>
    <x v="3"/>
    <n v="259197"/>
    <n v="245732"/>
    <n v="240732"/>
    <n v="5000"/>
    <n v="0"/>
    <s v="5000 BELKAS "/>
  </r>
  <r>
    <x v="1"/>
    <x v="6"/>
    <m/>
    <m/>
    <m/>
    <m/>
    <n v="0"/>
    <m/>
  </r>
  <r>
    <x v="1"/>
    <x v="4"/>
    <m/>
    <s v="TOTAL"/>
    <n v="689501"/>
    <n v="5000"/>
    <n v="30669"/>
    <m/>
  </r>
  <r>
    <x v="23"/>
    <x v="0"/>
    <m/>
    <n v="258570"/>
    <n v="249270"/>
    <m/>
    <n v="-9300"/>
    <s v="9300 crédit"/>
  </r>
  <r>
    <x v="1"/>
    <x v="2"/>
    <n v="104711"/>
    <n v="104711"/>
    <n v="99705"/>
    <n v="5000"/>
    <n v="-6"/>
    <s v="5000 BELKAS "/>
  </r>
  <r>
    <x v="1"/>
    <x v="1"/>
    <n v="161505"/>
    <n v="160695"/>
    <n v="139665"/>
    <m/>
    <n v="-21030"/>
    <s v="21000 La famille, 810 retour"/>
  </r>
  <r>
    <x v="1"/>
    <x v="3"/>
    <n v="54801"/>
    <n v="153001"/>
    <n v="153000"/>
    <m/>
    <n v="-1"/>
    <m/>
  </r>
  <r>
    <x v="1"/>
    <x v="6"/>
    <m/>
    <n v="18880"/>
    <n v="18880"/>
    <m/>
    <n v="0"/>
    <s v="6150 2 frère payé, 17730 mara3i payé, 5000 brahim"/>
  </r>
  <r>
    <x v="1"/>
    <x v="4"/>
    <m/>
    <s v="TOTAL"/>
    <n v="660520"/>
    <n v="5000"/>
    <n v="-30337"/>
    <m/>
  </r>
  <r>
    <x v="24"/>
    <x v="0"/>
    <m/>
    <n v="194773"/>
    <n v="203770"/>
    <m/>
    <n v="8997"/>
    <s v="9000 mohamed payé"/>
  </r>
  <r>
    <x v="1"/>
    <x v="2"/>
    <n v="99250"/>
    <n v="99250"/>
    <n v="99190"/>
    <n v="60"/>
    <n v="0"/>
    <s v="60 da scotch"/>
  </r>
  <r>
    <x v="1"/>
    <x v="1"/>
    <n v="217434"/>
    <n v="196983"/>
    <n v="191680"/>
    <n v="5000"/>
    <n v="-303"/>
    <s v="Belkas transport, 250 toufik"/>
  </r>
  <r>
    <x v="1"/>
    <x v="3"/>
    <n v="75552"/>
    <n v="75312"/>
    <n v="74200"/>
    <n v="1000"/>
    <n v="-112"/>
    <s v="240 diff prix, 1000 gasoil, 85 vaisselle "/>
  </r>
  <r>
    <x v="1"/>
    <x v="6"/>
    <m/>
    <n v="400"/>
    <n v="400"/>
    <m/>
    <m/>
    <s v="1 diffusseur "/>
  </r>
  <r>
    <x v="1"/>
    <x v="4"/>
    <m/>
    <s v="TOTAL"/>
    <n v="569240"/>
    <n v="6060"/>
    <n v="8582"/>
    <m/>
  </r>
  <r>
    <x v="25"/>
    <x v="0"/>
    <m/>
    <n v="170626"/>
    <n v="175910"/>
    <m/>
    <n v="5284"/>
    <s v="300 da mohamed payé, 5000 da zyada"/>
  </r>
  <r>
    <x v="1"/>
    <x v="2"/>
    <n v="85889"/>
    <n v="85079"/>
    <n v="102445"/>
    <n v="1000"/>
    <n v="18366"/>
    <s v="1000 gasoil, 170 vaisselle, atlas 10265, madjid city cabile 3000"/>
  </r>
  <r>
    <x v="1"/>
    <x v="1"/>
    <n v="119350"/>
    <n v="118380"/>
    <n v="118080"/>
    <n v="500"/>
    <n v="200"/>
    <s v="500 gasoil, 250 da toufik payé"/>
  </r>
  <r>
    <x v="1"/>
    <x v="3"/>
    <n v="67410"/>
    <n v="67410"/>
    <n v="66410"/>
    <n v="1000"/>
    <n v="0"/>
    <s v="1000 gasoil"/>
  </r>
  <r>
    <x v="1"/>
    <x v="6"/>
    <m/>
    <m/>
    <n v="8265"/>
    <m/>
    <n v="8265"/>
    <s v="2000 da rahim, 1000 da faysal"/>
  </r>
  <r>
    <x v="1"/>
    <x v="4"/>
    <m/>
    <s v="TOTAL"/>
    <n v="471110"/>
    <n v="2500"/>
    <n v="32115"/>
    <m/>
  </r>
  <r>
    <x v="26"/>
    <x v="0"/>
    <m/>
    <n v="208634"/>
    <n v="203635"/>
    <m/>
    <n v="-4999"/>
    <s v="+ 250000 DA VERSEMENT "/>
  </r>
  <r>
    <x v="1"/>
    <x v="2"/>
    <n v="129192"/>
    <n v="126295"/>
    <n v="126250"/>
    <m/>
    <n v="-45"/>
    <s v="2850 RETOUR, 85 CHANGEMENT PRIX"/>
  </r>
  <r>
    <x v="1"/>
    <x v="1"/>
    <n v="218275"/>
    <n v="201025"/>
    <n v="73200"/>
    <n v="2050"/>
    <n v="-125775"/>
    <s v="2000 da faysal, 17700 retour, boughrassa 60310, bouharb 62460"/>
  </r>
  <r>
    <x v="1"/>
    <x v="3"/>
    <n v="153038"/>
    <n v="151868"/>
    <n v="146850"/>
    <n v="5000"/>
    <n v="-18"/>
    <s v="BELKAS TRANSPORT"/>
  </r>
  <r>
    <x v="1"/>
    <x v="6"/>
    <m/>
    <m/>
    <n v="-2400"/>
    <m/>
    <n v="-2400"/>
    <s v="2000 faysal, 1000 toufik, 600 DA VENTE DEPOS"/>
  </r>
  <r>
    <x v="1"/>
    <x v="4"/>
    <n v="500505"/>
    <s v="TOTAL"/>
    <n v="547535"/>
    <n v="7050"/>
    <n v="-133237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41">
  <r>
    <x v="0"/>
    <x v="0"/>
    <m/>
    <n v="184577"/>
    <x v="0"/>
    <m/>
    <n v="-7"/>
    <m/>
  </r>
  <r>
    <x v="0"/>
    <x v="1"/>
    <n v="133145"/>
    <n v="132660"/>
    <x v="1"/>
    <m/>
    <n v="-145"/>
    <s v="• 145 Lave-Sol_x000a_• 485 Retour"/>
  </r>
  <r>
    <x v="0"/>
    <x v="2"/>
    <n v="117307"/>
    <n v="97087"/>
    <x v="2"/>
    <m/>
    <n v="3"/>
    <s v="• 20220 Retour La Famille"/>
  </r>
  <r>
    <x v="0"/>
    <x v="3"/>
    <n v="197770"/>
    <n v="196654"/>
    <x v="3"/>
    <n v="5000"/>
    <n v="-439"/>
    <s v="• Lave-Sol x 3 = 435_x000a_• 5000 Belkas transport"/>
  </r>
  <r>
    <x v="0"/>
    <x v="4"/>
    <m/>
    <m/>
    <x v="4"/>
    <m/>
    <m/>
    <s v="• 4000 Othman Minari Par Rahim"/>
  </r>
  <r>
    <x v="0"/>
    <x v="5"/>
    <m/>
    <m/>
    <x v="5"/>
    <m/>
    <m/>
    <m/>
  </r>
  <r>
    <x v="0"/>
    <x v="6"/>
    <m/>
    <m/>
    <x v="5"/>
    <m/>
    <m/>
    <m/>
  </r>
  <r>
    <x v="1"/>
    <x v="7"/>
    <m/>
    <s v="TOTAL"/>
    <x v="6"/>
    <n v="5000"/>
    <n v="-588"/>
    <m/>
  </r>
  <r>
    <x v="2"/>
    <x v="0"/>
    <m/>
    <n v="165525"/>
    <x v="7"/>
    <m/>
    <n v="-20"/>
    <m/>
  </r>
  <r>
    <x v="2"/>
    <x v="1"/>
    <n v="77714"/>
    <n v="72239"/>
    <x v="8"/>
    <n v="800"/>
    <n v="0"/>
    <s v="• 5475 Retour 1 Fermé_x000a_• 800 Mécanicien"/>
  </r>
  <r>
    <x v="2"/>
    <x v="2"/>
    <n v="341473"/>
    <n v="337238"/>
    <x v="9"/>
    <m/>
    <n v="-58"/>
    <s v="• 4235 Retour"/>
  </r>
  <r>
    <x v="2"/>
    <x v="3"/>
    <n v="93735"/>
    <n v="93735"/>
    <x v="10"/>
    <m/>
    <n v="-145"/>
    <s v="• 145 Lave-Sol "/>
  </r>
  <r>
    <x v="2"/>
    <x v="4"/>
    <m/>
    <m/>
    <x v="11"/>
    <m/>
    <m/>
    <s v="• 15000 2B Versement"/>
  </r>
  <r>
    <x v="2"/>
    <x v="5"/>
    <m/>
    <m/>
    <x v="12"/>
    <m/>
    <m/>
    <s v="• - 1500 da Khaled Connexion"/>
  </r>
  <r>
    <x v="2"/>
    <x v="6"/>
    <m/>
    <m/>
    <x v="5"/>
    <m/>
    <m/>
    <m/>
  </r>
  <r>
    <x v="2"/>
    <x v="8"/>
    <m/>
    <m/>
    <x v="13"/>
    <n v="6000"/>
    <m/>
    <s v="• - 5800 Da Khaled MM Vespa_x000a_• - 200 da Khaled Essence_x000a_• + 580 vente dépôts"/>
  </r>
  <r>
    <x v="1"/>
    <x v="7"/>
    <m/>
    <s v="TOTAL"/>
    <x v="14"/>
    <n v="6800"/>
    <n v="-223"/>
    <m/>
  </r>
  <r>
    <x v="3"/>
    <x v="0"/>
    <m/>
    <n v="217831"/>
    <x v="15"/>
    <m/>
    <n v="-25801"/>
    <s v="• 25800 Reste"/>
  </r>
  <r>
    <x v="3"/>
    <x v="1"/>
    <n v="137685"/>
    <n v="137685"/>
    <x v="16"/>
    <m/>
    <n v="-3575"/>
    <s v="• 3566 Différence de prix"/>
  </r>
  <r>
    <x v="3"/>
    <x v="2"/>
    <n v="104070"/>
    <n v="103790"/>
    <x v="17"/>
    <n v="1000"/>
    <n v="-125"/>
    <s v="• 1000 Gasoil_x000a_• 1125 Différence de prix"/>
  </r>
  <r>
    <x v="3"/>
    <x v="3"/>
    <n v="76535"/>
    <n v="76535"/>
    <x v="18"/>
    <n v="1000"/>
    <n v="0"/>
    <s v="• 900 Glaciol_x000a_• 100 Bétadine"/>
  </r>
  <r>
    <x v="3"/>
    <x v="4"/>
    <m/>
    <m/>
    <x v="19"/>
    <m/>
    <m/>
    <s v="• + 20450 Versement GM_x000a_• + 2000 Amire mini marcket"/>
  </r>
  <r>
    <x v="3"/>
    <x v="5"/>
    <m/>
    <m/>
    <x v="5"/>
    <m/>
    <m/>
    <m/>
  </r>
  <r>
    <x v="3"/>
    <x v="6"/>
    <m/>
    <m/>
    <x v="5"/>
    <m/>
    <m/>
    <m/>
  </r>
  <r>
    <x v="3"/>
    <x v="8"/>
    <m/>
    <m/>
    <x v="20"/>
    <m/>
    <m/>
    <s v="• 1700 Vente Dépôts"/>
  </r>
  <r>
    <x v="1"/>
    <x v="7"/>
    <m/>
    <s v="TOTAL"/>
    <x v="21"/>
    <n v="2000"/>
    <n v="-29501"/>
    <m/>
  </r>
  <r>
    <x v="4"/>
    <x v="0"/>
    <m/>
    <n v="165637"/>
    <x v="22"/>
    <m/>
    <n v="33"/>
    <m/>
  </r>
  <r>
    <x v="4"/>
    <x v="1"/>
    <n v="170566"/>
    <n v="162280"/>
    <x v="23"/>
    <m/>
    <n v="0"/>
    <s v="• 8286 retour 2 fermé"/>
  </r>
  <r>
    <x v="4"/>
    <x v="2"/>
    <n v="282520"/>
    <n v="280750"/>
    <x v="24"/>
    <m/>
    <n v="0"/>
    <s v="• 1770 retour 1 x 4.5 Marseille"/>
  </r>
  <r>
    <x v="4"/>
    <x v="3"/>
    <n v="244147"/>
    <n v="234152"/>
    <x v="25"/>
    <n v="1000"/>
    <n v="0"/>
    <s v="• 1000 Gasoil_x000a_• 9995 Retour"/>
  </r>
  <r>
    <x v="4"/>
    <x v="4"/>
    <m/>
    <m/>
    <x v="26"/>
    <m/>
    <m/>
    <s v="• 15908 Othman Minari Par Abdou (N.Obs)"/>
  </r>
  <r>
    <x v="4"/>
    <x v="5"/>
    <m/>
    <m/>
    <x v="5"/>
    <m/>
    <m/>
    <m/>
  </r>
  <r>
    <x v="4"/>
    <x v="6"/>
    <m/>
    <m/>
    <x v="27"/>
    <m/>
    <m/>
    <s v="• -27300 Boughrassa Crédit"/>
  </r>
  <r>
    <x v="4"/>
    <x v="8"/>
    <m/>
    <m/>
    <x v="28"/>
    <m/>
    <m/>
    <s v="• +340 vente dépôts"/>
  </r>
  <r>
    <x v="1"/>
    <x v="7"/>
    <m/>
    <s v="TOTAL"/>
    <x v="29"/>
    <n v="1000"/>
    <n v="33"/>
    <n v="1"/>
  </r>
  <r>
    <x v="5"/>
    <x v="0"/>
    <m/>
    <n v="237731"/>
    <x v="30"/>
    <m/>
    <n v="-191"/>
    <s v="• Reste 200 da"/>
  </r>
  <r>
    <x v="5"/>
    <x v="1"/>
    <n v="107936"/>
    <n v="107126"/>
    <x v="31"/>
    <n v="250"/>
    <n v="0"/>
    <s v="• 250 Glaciol_x000a_• 810 Retour"/>
  </r>
  <r>
    <x v="5"/>
    <x v="2"/>
    <n v="438403"/>
    <n v="437023"/>
    <x v="32"/>
    <n v="1000"/>
    <n v="-545"/>
    <s v="• -290 x 2 Lave-Sol_x000a_• -255 x 3 Carton Vaisselle Grenadine _x000a_• -1000 Gasoil"/>
  </r>
  <r>
    <x v="5"/>
    <x v="3"/>
    <n v="137589"/>
    <n v="137184"/>
    <x v="33"/>
    <n v="1000"/>
    <n v="1"/>
    <s v="• 405 Modification prix smain Cherchell"/>
  </r>
  <r>
    <x v="5"/>
    <x v="4"/>
    <m/>
    <m/>
    <x v="5"/>
    <m/>
    <m/>
    <m/>
  </r>
  <r>
    <x v="5"/>
    <x v="5"/>
    <m/>
    <m/>
    <x v="5"/>
    <m/>
    <m/>
    <m/>
  </r>
  <r>
    <x v="5"/>
    <x v="6"/>
    <m/>
    <m/>
    <x v="34"/>
    <m/>
    <m/>
    <s v="• - 48878 Crédit El Madina Par Toufik_x000a_• - 49565 Dgr Kheredine Par Amine_x000a_• - 8050 Crédit Farouk Kares Par Amine_x000a_• -2860 Crédit Raho"/>
  </r>
  <r>
    <x v="5"/>
    <x v="8"/>
    <m/>
    <m/>
    <x v="5"/>
    <m/>
    <m/>
    <m/>
  </r>
  <r>
    <x v="1"/>
    <x v="7"/>
    <m/>
    <s v="TOTAL"/>
    <x v="35"/>
    <n v="2250"/>
    <n v="-735"/>
    <m/>
  </r>
  <r>
    <x v="6"/>
    <x v="0"/>
    <m/>
    <n v="414038"/>
    <x v="36"/>
    <m/>
    <n v="-1698"/>
    <s v="• 200 DA le 06-12 Payé_x000a_• Reste 1895"/>
  </r>
  <r>
    <x v="6"/>
    <x v="1"/>
    <n v="228193"/>
    <n v="219733"/>
    <x v="37"/>
    <n v="1000"/>
    <n v="17"/>
    <s v="• 1000 Glaciol_x000a_• 8460 Retour Kousayla"/>
  </r>
  <r>
    <x v="6"/>
    <x v="2"/>
    <n v="67789"/>
    <n v="67789"/>
    <x v="38"/>
    <m/>
    <n v="-84"/>
    <s v="• - 85 vaisselle grenadine"/>
  </r>
  <r>
    <x v="6"/>
    <x v="3"/>
    <n v="182680"/>
    <n v="182680"/>
    <x v="39"/>
    <m/>
    <n v="-35"/>
    <m/>
  </r>
  <r>
    <x v="6"/>
    <x v="4"/>
    <m/>
    <m/>
    <x v="40"/>
    <m/>
    <m/>
    <s v="• +5501 Naserredint lomperd_x000a_• +14675 Lyn Marcket"/>
  </r>
  <r>
    <x v="6"/>
    <x v="5"/>
    <m/>
    <m/>
    <x v="5"/>
    <m/>
    <m/>
    <m/>
  </r>
  <r>
    <x v="6"/>
    <x v="6"/>
    <m/>
    <m/>
    <x v="5"/>
    <m/>
    <m/>
    <m/>
  </r>
  <r>
    <x v="6"/>
    <x v="8"/>
    <m/>
    <m/>
    <x v="41"/>
    <n v="150"/>
    <m/>
    <s v="• - 150 Stylo + Scotch"/>
  </r>
  <r>
    <x v="1"/>
    <x v="7"/>
    <m/>
    <s v="TOTAL"/>
    <x v="42"/>
    <n v="1150"/>
    <n v="-1800"/>
    <m/>
  </r>
  <r>
    <x v="7"/>
    <x v="0"/>
    <m/>
    <n v="170950"/>
    <x v="43"/>
    <m/>
    <n v="5"/>
    <m/>
  </r>
  <r>
    <x v="7"/>
    <x v="1"/>
    <n v="154755"/>
    <n v="148655"/>
    <x v="44"/>
    <m/>
    <n v="0"/>
    <s v="• 6100 Retour 1 Fermé"/>
  </r>
  <r>
    <x v="7"/>
    <x v="2"/>
    <n v="209095"/>
    <n v="206995"/>
    <x v="45"/>
    <n v="1000"/>
    <n v="-205"/>
    <s v="• 2105 Retour (1 x 3L + 5 L.M 2,5)_x000a_• 145 Lave-Sol_x000a_• 60 da différence de prix Vaisselle 650"/>
  </r>
  <r>
    <x v="7"/>
    <x v="3"/>
    <n v="76160"/>
    <n v="76160"/>
    <x v="46"/>
    <n v="4500"/>
    <n v="-45"/>
    <s v="• -2000 Gasoil_x000a_• -950 Glaciol_x000a_• -450 Huile_x000a_• -1000 Main-doeuvre_x000a_• -100 3akri"/>
  </r>
  <r>
    <x v="7"/>
    <x v="4"/>
    <m/>
    <m/>
    <x v="5"/>
    <m/>
    <m/>
    <m/>
  </r>
  <r>
    <x v="7"/>
    <x v="5"/>
    <m/>
    <m/>
    <x v="5"/>
    <m/>
    <m/>
    <m/>
  </r>
  <r>
    <x v="7"/>
    <x v="6"/>
    <m/>
    <m/>
    <x v="47"/>
    <m/>
    <m/>
    <s v="• -24000 NASEREDINE LOMPERD (Toufik)"/>
  </r>
  <r>
    <x v="1"/>
    <x v="7"/>
    <m/>
    <s v="TOTAL"/>
    <x v="48"/>
    <n v="5500"/>
    <n v="-245"/>
    <m/>
  </r>
  <r>
    <x v="8"/>
    <x v="0"/>
    <m/>
    <n v="255757"/>
    <x v="49"/>
    <m/>
    <n v="-30657"/>
    <s v="• Reste 30657 + 1895 Le 07/12"/>
  </r>
  <r>
    <x v="8"/>
    <x v="1"/>
    <n v="185597"/>
    <n v="172802"/>
    <x v="50"/>
    <m/>
    <n v="-2"/>
    <s v="• 12795 Retour 1 ferme + 1,5 Marseille"/>
  </r>
  <r>
    <x v="8"/>
    <x v="2"/>
    <n v="284665"/>
    <n v="244659"/>
    <x v="51"/>
    <m/>
    <n v="0"/>
    <s v="• 40006 Retour 2 ferme"/>
  </r>
  <r>
    <x v="8"/>
    <x v="3"/>
    <n v="81990"/>
    <n v="81990"/>
    <x v="52"/>
    <m/>
    <n v="0"/>
    <m/>
  </r>
  <r>
    <x v="8"/>
    <x v="4"/>
    <m/>
    <m/>
    <x v="53"/>
    <m/>
    <m/>
    <s v="• 24000 NASEREDINE LOMPERD (Toufik)"/>
  </r>
  <r>
    <x v="8"/>
    <x v="5"/>
    <m/>
    <m/>
    <x v="5"/>
    <m/>
    <m/>
    <m/>
  </r>
  <r>
    <x v="8"/>
    <x v="6"/>
    <m/>
    <m/>
    <x v="54"/>
    <m/>
    <m/>
    <s v="• -57600 Crédit 2B Par Toufik_x000a_• -8000 SUP RAHO COUMINEL Par Toufik"/>
  </r>
  <r>
    <x v="8"/>
    <x v="8"/>
    <m/>
    <m/>
    <x v="55"/>
    <n v="1450"/>
    <m/>
    <s v="• -50 Trombones Brahim_x000a_• -1200 Radiateur Boxer Abdou_x000a_• -200 Clef Faysal"/>
  </r>
  <r>
    <x v="1"/>
    <x v="7"/>
    <m/>
    <s v="TOTAL"/>
    <x v="56"/>
    <n v="1450"/>
    <n v="-30659"/>
    <m/>
  </r>
  <r>
    <x v="9"/>
    <x v="0"/>
    <m/>
    <n v="191185"/>
    <x v="57"/>
    <m/>
    <n v="-17440"/>
    <s v="• 191185 + 32552 - 5000 = 173737_x000a_• 32552 Le 09/12 Payé_x000a_• -5000 da La Vanne"/>
  </r>
  <r>
    <x v="9"/>
    <x v="1"/>
    <n v="105018"/>
    <n v="124860"/>
    <x v="58"/>
    <m/>
    <n v="0"/>
    <s v="• 3065 Retour_x000a_    • 2 x 4,5L client pas d'argent_x000a_    • 1 Fermé"/>
  </r>
  <r>
    <x v="9"/>
    <x v="2"/>
    <n v="104295"/>
    <n v="104210"/>
    <x v="59"/>
    <m/>
    <n v="0"/>
    <s v="• 85 changement prix gm 10 Litre"/>
  </r>
  <r>
    <x v="9"/>
    <x v="3"/>
    <n v="100958"/>
    <n v="97153"/>
    <x v="60"/>
    <m/>
    <n v="-3"/>
    <s v="• 3805 Retour (Matal3osh f Camion)"/>
  </r>
  <r>
    <x v="9"/>
    <x v="4"/>
    <m/>
    <m/>
    <x v="61"/>
    <m/>
    <m/>
    <s v="• +12395 Versement GM_x000a_• +57600 Versement 2B Par Amine_x000a_• +3000 Madjid city kabyle_x000a_• +5000 La famille par abdou"/>
  </r>
  <r>
    <x v="9"/>
    <x v="5"/>
    <m/>
    <m/>
    <x v="62"/>
    <m/>
    <m/>
    <s v="• -3600 Brahim"/>
  </r>
  <r>
    <x v="9"/>
    <x v="6"/>
    <m/>
    <m/>
    <x v="63"/>
    <m/>
    <m/>
    <s v="• -2000 Bouchachi tipaza par reda_x000a_• -3000 Mini Marcket Par Amine"/>
  </r>
  <r>
    <x v="9"/>
    <x v="8"/>
    <m/>
    <m/>
    <x v="64"/>
    <n v="4500"/>
    <m/>
    <s v="• -4000 Essence Khaled Vespa_x000a_• -130000 Morad Khemisti_x000a_• -500 DA Fayçal Anti-fuit"/>
  </r>
  <r>
    <x v="1"/>
    <x v="7"/>
    <m/>
    <s v="TOTAL"/>
    <x v="65"/>
    <n v="4500"/>
    <n v="-17443"/>
    <m/>
  </r>
  <r>
    <x v="10"/>
    <x v="0"/>
    <m/>
    <n v="177527"/>
    <x v="66"/>
    <m/>
    <n v="25753"/>
    <s v="• 25800 Le 03/12 Payé"/>
  </r>
  <r>
    <x v="10"/>
    <x v="1"/>
    <n v="149297"/>
    <n v="141467"/>
    <x v="67"/>
    <m/>
    <n v="-182"/>
    <s v="• 4050 Retour 2 Fermé_x000a_• 3795 Non Chargé f Camion_x000a_• -185 Kenzi Ysalha"/>
  </r>
  <r>
    <x v="10"/>
    <x v="2"/>
    <n v="147755"/>
    <n v="147325"/>
    <x v="68"/>
    <n v="250"/>
    <n v="-5"/>
    <s v="• 250 Glaciol _x000a_• 430 Retour 2 x 1,5 Lavande"/>
  </r>
  <r>
    <x v="10"/>
    <x v="3"/>
    <n v="275522"/>
    <n v="275522"/>
    <x v="69"/>
    <n v="1000"/>
    <n v="0"/>
    <s v="• -1000 Gasoil"/>
  </r>
  <r>
    <x v="10"/>
    <x v="4"/>
    <m/>
    <m/>
    <x v="70"/>
    <m/>
    <m/>
    <s v="• +9220 Versement Boughrassa (Toufik)_x000a_• +4470 Versement Wahab Gouraya (Reda)_x000a_• +5000 Versement La famille (Abdou)"/>
  </r>
  <r>
    <x v="10"/>
    <x v="5"/>
    <m/>
    <m/>
    <x v="71"/>
    <m/>
    <m/>
    <s v="• -10000 Walid Zioui"/>
  </r>
  <r>
    <x v="10"/>
    <x v="6"/>
    <m/>
    <m/>
    <x v="72"/>
    <m/>
    <m/>
    <s v="• -5770 Crédit Wahab Gouraya (Reda)"/>
  </r>
  <r>
    <x v="10"/>
    <x v="8"/>
    <m/>
    <m/>
    <x v="5"/>
    <m/>
    <m/>
    <m/>
  </r>
  <r>
    <x v="1"/>
    <x v="7"/>
    <m/>
    <s v="TOTAL"/>
    <x v="73"/>
    <n v="1250"/>
    <n v="25566"/>
    <m/>
  </r>
  <r>
    <x v="11"/>
    <x v="0"/>
    <m/>
    <n v="192655"/>
    <x v="74"/>
    <m/>
    <n v="-23655"/>
    <s v="• -23655 Reste"/>
  </r>
  <r>
    <x v="11"/>
    <x v="1"/>
    <n v="115490"/>
    <n v="82667"/>
    <x v="75"/>
    <m/>
    <n v="-1767"/>
    <s v="• -1770 Carton 4.5 Rendu par Client_x000a_• 32825 Retour DGR Djamel Pas D'argent"/>
  </r>
  <r>
    <x v="11"/>
    <x v="2"/>
    <n v="187848"/>
    <n v="176772"/>
    <x v="76"/>
    <n v="300"/>
    <n v="-17"/>
    <s v="• -300 Glaciol_x000a_• 11076 Retour El Madina Pas D'argent"/>
  </r>
  <r>
    <x v="11"/>
    <x v="3"/>
    <n v="137072"/>
    <n v="137072"/>
    <x v="77"/>
    <m/>
    <n v="-12"/>
    <m/>
  </r>
  <r>
    <x v="11"/>
    <x v="4"/>
    <m/>
    <m/>
    <x v="78"/>
    <m/>
    <m/>
    <s v="• +8000 Raho cominel (Toufik)_x000a_• +8050 Farouk Kares (Amine)"/>
  </r>
  <r>
    <x v="11"/>
    <x v="5"/>
    <m/>
    <m/>
    <x v="79"/>
    <m/>
    <m/>
    <s v="• -6790 Walid Zioui"/>
  </r>
  <r>
    <x v="11"/>
    <x v="6"/>
    <m/>
    <m/>
    <x v="80"/>
    <m/>
    <m/>
    <s v="• -1000 Faysal Sog (Amine)"/>
  </r>
  <r>
    <x v="11"/>
    <x v="8"/>
    <m/>
    <m/>
    <x v="81"/>
    <m/>
    <m/>
    <m/>
  </r>
  <r>
    <x v="1"/>
    <x v="7"/>
    <m/>
    <s v="TOTAL"/>
    <x v="82"/>
    <n v="300"/>
    <n v="-25451"/>
    <m/>
  </r>
  <r>
    <x v="12"/>
    <x v="0"/>
    <n v="0"/>
    <n v="153820"/>
    <x v="83"/>
    <m/>
    <n v="16180"/>
    <s v="• 23655 Le 13-12 Versement 16180_x000a_• Reste 7475"/>
  </r>
  <r>
    <x v="12"/>
    <x v="1"/>
    <n v="155856"/>
    <n v="152991"/>
    <x v="84"/>
    <n v="250"/>
    <n v="-1"/>
    <s v="• 2865 Retour 1 Fermé_x000a_• 250 Mécanicien Boxer"/>
  </r>
  <r>
    <x v="12"/>
    <x v="2"/>
    <n v="135200"/>
    <n v="64840"/>
    <x v="85"/>
    <n v="2000"/>
    <n v="0"/>
    <s v="• 2000 Da DFM"/>
  </r>
  <r>
    <x v="12"/>
    <x v="3"/>
    <n v="280120"/>
    <n v="267930"/>
    <x v="86"/>
    <n v="1000"/>
    <n v="-15"/>
    <s v="• 12190 Vaisselle 4L Non Chargé, 1 Fermé"/>
  </r>
  <r>
    <x v="12"/>
    <x v="4"/>
    <m/>
    <m/>
    <x v="87"/>
    <m/>
    <m/>
    <s v="• 27000 Versement Family Shop Damous (Reda)"/>
  </r>
  <r>
    <x v="12"/>
    <x v="5"/>
    <m/>
    <m/>
    <x v="5"/>
    <m/>
    <m/>
    <m/>
  </r>
  <r>
    <x v="12"/>
    <x v="6"/>
    <m/>
    <m/>
    <x v="5"/>
    <m/>
    <m/>
    <m/>
  </r>
  <r>
    <x v="12"/>
    <x v="8"/>
    <m/>
    <m/>
    <x v="88"/>
    <m/>
    <m/>
    <s v="• -150000 Versement Topsil "/>
  </r>
  <r>
    <x v="1"/>
    <x v="7"/>
    <m/>
    <s v="TOTAL"/>
    <x v="89"/>
    <n v="3250"/>
    <n v="16164"/>
    <m/>
  </r>
  <r>
    <x v="13"/>
    <x v="0"/>
    <m/>
    <n v="187632"/>
    <x v="90"/>
    <m/>
    <n v="7468"/>
    <s v="• +7475 Le 14/12 Payé"/>
  </r>
  <r>
    <x v="13"/>
    <x v="1"/>
    <n v="121732"/>
    <n v="110767"/>
    <x v="91"/>
    <m/>
    <n v="3"/>
    <s v="• 10965 Retour 2 Pas d'argent"/>
  </r>
  <r>
    <x v="13"/>
    <x v="2"/>
    <n v="169456"/>
    <n v="164701"/>
    <x v="92"/>
    <n v="550"/>
    <n v="-701"/>
    <s v="• -480 Othman minari vaisselle 1,25_x000a_• -550 Huile Boxer_x000a_• -220 Toufik_x000a_• 4755 Retour 3L Aloe-Verra"/>
  </r>
  <r>
    <x v="13"/>
    <x v="3"/>
    <n v="105951"/>
    <n v="173841"/>
    <x v="93"/>
    <n v="1000"/>
    <n v="-6"/>
    <s v="• 4025 A Demain_x000a_• 1770 Retour 4.5 L Marseille_x000a_• 1000 Gasoil_x000a_• +73685 MM Livré"/>
  </r>
  <r>
    <x v="13"/>
    <x v="4"/>
    <m/>
    <m/>
    <x v="94"/>
    <m/>
    <m/>
    <s v="• +5000 Verse DGR Hakim Rahma (Toufik)"/>
  </r>
  <r>
    <x v="13"/>
    <x v="5"/>
    <m/>
    <m/>
    <x v="95"/>
    <m/>
    <m/>
    <s v="• -200 Faysal_x000a_• -1000 Reda_x000a_• -10000 Hani"/>
  </r>
  <r>
    <x v="13"/>
    <x v="6"/>
    <m/>
    <m/>
    <x v="96"/>
    <m/>
    <m/>
    <s v="• -25888 El Mara3i (Toufik)"/>
  </r>
  <r>
    <x v="13"/>
    <x v="8"/>
    <m/>
    <m/>
    <x v="97"/>
    <m/>
    <m/>
    <s v="• 1750 Rendu Par Houari_x000a_• 10000 Clarck"/>
  </r>
  <r>
    <x v="1"/>
    <x v="7"/>
    <m/>
    <s v="TOTAL"/>
    <x v="98"/>
    <n v="1550"/>
    <n v="6764"/>
    <m/>
  </r>
  <r>
    <x v="14"/>
    <x v="0"/>
    <m/>
    <n v="204510"/>
    <x v="99"/>
    <m/>
    <n v="-410"/>
    <s v="• Reste 410"/>
  </r>
  <r>
    <x v="14"/>
    <x v="1"/>
    <n v="107026"/>
    <n v="105406"/>
    <x v="100"/>
    <m/>
    <n v="10049"/>
    <s v="• +10050 Vente Sup El Rahma_x000a_• 1620 Retour 1 fermé"/>
  </r>
  <r>
    <x v="14"/>
    <x v="2"/>
    <n v="176041"/>
    <n v="154446"/>
    <x v="101"/>
    <m/>
    <n v="46000"/>
    <s v="• 21595 Retour_x000a_    • 16995 Fermé_x000a_    • 10L x 3 Rendu par client_x000a_    • 3L x 4 Avari_x000a_• -280 Toufik_x000a_• +46000 Dgr Raho"/>
  </r>
  <r>
    <x v="14"/>
    <x v="3"/>
    <n v="79290"/>
    <n v="83315"/>
    <x v="102"/>
    <n v="1000"/>
    <n v="0"/>
    <s v="• +4025 Le 15/12 Livrée"/>
  </r>
  <r>
    <x v="14"/>
    <x v="4"/>
    <m/>
    <m/>
    <x v="5"/>
    <m/>
    <m/>
    <m/>
  </r>
  <r>
    <x v="14"/>
    <x v="5"/>
    <m/>
    <m/>
    <x v="5"/>
    <m/>
    <m/>
    <m/>
  </r>
  <r>
    <x v="14"/>
    <x v="6"/>
    <m/>
    <m/>
    <x v="103"/>
    <m/>
    <m/>
    <s v="• -850 Crédit DGR Raho "/>
  </r>
  <r>
    <x v="14"/>
    <x v="8"/>
    <m/>
    <m/>
    <x v="104"/>
    <m/>
    <m/>
    <s v="• -500 Rahim Par Brahim_x000a_• -1500 Rahim Flexy Par Amine"/>
  </r>
  <r>
    <x v="1"/>
    <x v="7"/>
    <m/>
    <s v="TOTAL"/>
    <x v="105"/>
    <n v="1000"/>
    <n v="55639"/>
    <m/>
  </r>
  <r>
    <x v="15"/>
    <x v="0"/>
    <m/>
    <n v="154530"/>
    <x v="106"/>
    <m/>
    <n v="400"/>
    <s v="• 400 Le 16/12 Payé"/>
  </r>
  <r>
    <x v="15"/>
    <x v="1"/>
    <n v="87522"/>
    <n v="87522"/>
    <x v="107"/>
    <m/>
    <n v="-12"/>
    <m/>
  </r>
  <r>
    <x v="15"/>
    <x v="2"/>
    <n v="172507"/>
    <n v="170449"/>
    <x v="108"/>
    <m/>
    <n v="0"/>
    <m/>
  </r>
  <r>
    <x v="15"/>
    <x v="3"/>
    <n v="107780"/>
    <n v="104780"/>
    <x v="109"/>
    <m/>
    <n v="-70"/>
    <s v="• 3000 Retour 10 L retour par client"/>
  </r>
  <r>
    <x v="15"/>
    <x v="4"/>
    <m/>
    <m/>
    <x v="110"/>
    <m/>
    <m/>
    <s v="• +3000 Amire Mini Marcket (Amine)_x000a_• +20809 GM (Toufik)_x000a_• +2000 Bouchachi Payé (Reda)"/>
  </r>
  <r>
    <x v="15"/>
    <x v="5"/>
    <m/>
    <m/>
    <x v="5"/>
    <m/>
    <m/>
    <m/>
  </r>
  <r>
    <x v="15"/>
    <x v="6"/>
    <m/>
    <m/>
    <x v="111"/>
    <m/>
    <m/>
    <s v="• -15723 Crédit Lyn Marcket"/>
  </r>
  <r>
    <x v="15"/>
    <x v="8"/>
    <m/>
    <m/>
    <x v="112"/>
    <n v="1700"/>
    <m/>
    <s v="• Khaled garde-boue vespa_x000a_• +400 vente depos"/>
  </r>
  <r>
    <x v="1"/>
    <x v="7"/>
    <m/>
    <s v="TOTAL"/>
    <x v="113"/>
    <n v="1700"/>
    <n v="318"/>
    <m/>
  </r>
  <r>
    <x v="16"/>
    <x v="0"/>
    <m/>
    <n v="227506"/>
    <x v="114"/>
    <m/>
    <n v="0"/>
    <s v="• 210000 Prise par rahim"/>
  </r>
  <r>
    <x v="16"/>
    <x v="1"/>
    <n v="147670"/>
    <n v="146980"/>
    <x v="115"/>
    <m/>
    <n v="0"/>
    <s v="• 690 Retour non prise par client_x000a_    • 1 x 3L_x000a_    • 3 x L.main 400"/>
  </r>
  <r>
    <x v="16"/>
    <x v="2"/>
    <n v="173610"/>
    <n v="173610"/>
    <x v="116"/>
    <m/>
    <n v="0"/>
    <m/>
  </r>
  <r>
    <x v="16"/>
    <x v="3"/>
    <n v="242900"/>
    <n v="242900"/>
    <x v="117"/>
    <m/>
    <n v="-30"/>
    <m/>
  </r>
  <r>
    <x v="16"/>
    <x v="4"/>
    <m/>
    <m/>
    <x v="118"/>
    <m/>
    <m/>
    <s v="• +3330 Versement Boughrassa"/>
  </r>
  <r>
    <x v="16"/>
    <x v="5"/>
    <m/>
    <m/>
    <x v="119"/>
    <m/>
    <m/>
    <s v="• 4000 da Toufik_x000a_• 13600 Wassim"/>
  </r>
  <r>
    <x v="16"/>
    <x v="6"/>
    <m/>
    <m/>
    <x v="5"/>
    <m/>
    <m/>
    <m/>
  </r>
  <r>
    <x v="16"/>
    <x v="8"/>
    <m/>
    <m/>
    <x v="120"/>
    <n v="6200"/>
    <m/>
    <s v="• 4200 Fethi Vespa_x000a_• 2000 Clark"/>
  </r>
  <r>
    <x v="1"/>
    <x v="7"/>
    <m/>
    <s v="TOTAL"/>
    <x v="121"/>
    <n v="6200"/>
    <n v="-30"/>
    <m/>
  </r>
  <r>
    <x v="17"/>
    <x v="0"/>
    <m/>
    <n v="234455"/>
    <x v="122"/>
    <m/>
    <n v="0"/>
    <m/>
  </r>
  <r>
    <x v="17"/>
    <x v="1"/>
    <n v="169603"/>
    <n v="169203"/>
    <x v="123"/>
    <m/>
    <n v="-3"/>
    <s v="• 400 1 x 3L Avari"/>
  </r>
  <r>
    <x v="17"/>
    <x v="2"/>
    <n v="172108"/>
    <n v="170083"/>
    <x v="124"/>
    <n v="300"/>
    <n v="0"/>
    <s v="• 300 Glaciol_x000a_• 2025 Retour 1 x 3L Non Chargé"/>
  </r>
  <r>
    <x v="17"/>
    <x v="3"/>
    <n v="121460"/>
    <n v="121460"/>
    <x v="125"/>
    <n v="1000"/>
    <n v="-60"/>
    <s v="• 60 modification prix EL MAHAM"/>
  </r>
  <r>
    <x v="17"/>
    <x v="4"/>
    <m/>
    <m/>
    <x v="126"/>
    <m/>
    <m/>
    <s v="• 26325 Versement DGR KHERDDINE (Toufik)_x000a_• 1000 Versement Faysal Sog"/>
  </r>
  <r>
    <x v="17"/>
    <x v="5"/>
    <m/>
    <m/>
    <x v="104"/>
    <m/>
    <m/>
    <s v="• -2000 Faysal DFM"/>
  </r>
  <r>
    <x v="17"/>
    <x v="6"/>
    <m/>
    <m/>
    <x v="5"/>
    <m/>
    <m/>
    <m/>
  </r>
  <r>
    <x v="17"/>
    <x v="8"/>
    <m/>
    <m/>
    <x v="81"/>
    <m/>
    <m/>
    <m/>
  </r>
  <r>
    <x v="1"/>
    <x v="7"/>
    <m/>
    <s v="TOTAL"/>
    <x v="127"/>
    <n v="1300"/>
    <n v="-63"/>
    <m/>
  </r>
  <r>
    <x v="18"/>
    <x v="0"/>
    <m/>
    <n v="225166"/>
    <x v="128"/>
    <m/>
    <n v="794"/>
    <s v="• 800 da zyada"/>
  </r>
  <r>
    <x v="18"/>
    <x v="1"/>
    <n v="176330"/>
    <n v="163100"/>
    <x v="129"/>
    <m/>
    <n v="0"/>
    <s v="• 13230 Retour_x000a_    • Kousayla pas d'argent_x000a_    • Talal Fermé"/>
  </r>
  <r>
    <x v="18"/>
    <x v="2"/>
    <n v="64055"/>
    <n v="151430"/>
    <x v="130"/>
    <n v="21000"/>
    <n v="0"/>
    <s v="• 445 retour = 1 x bicarbonat non chargé_x000a_• -20000 Radiateur eau boxer_x000a_• -1000 Gasoil"/>
  </r>
  <r>
    <x v="18"/>
    <x v="3"/>
    <n v="127327"/>
    <n v="102281"/>
    <x v="131"/>
    <n v="4000"/>
    <n v="-11"/>
    <s v="• Les Charges:_x000a_    • 600 2 x entie fuit_x000a_    • 850 Glaciol_x000a_    • 1700 Durite_x000a_    • 150 Tournevis_x000a_    • 700 Gasoil_x000a_• 25046 Retour Non Livrée En Pane"/>
  </r>
  <r>
    <x v="18"/>
    <x v="4"/>
    <m/>
    <m/>
    <x v="132"/>
    <m/>
    <m/>
    <s v="• 5770 Versement Wahab Gouraya"/>
  </r>
  <r>
    <x v="18"/>
    <x v="5"/>
    <m/>
    <m/>
    <x v="5"/>
    <m/>
    <m/>
    <m/>
  </r>
  <r>
    <x v="18"/>
    <x v="6"/>
    <m/>
    <m/>
    <x v="133"/>
    <m/>
    <m/>
    <s v="• -9600 Crédit Boughrassa"/>
  </r>
  <r>
    <x v="18"/>
    <x v="8"/>
    <m/>
    <m/>
    <x v="5"/>
    <m/>
    <m/>
    <m/>
  </r>
  <r>
    <x v="1"/>
    <x v="7"/>
    <m/>
    <s v="TOTAL"/>
    <x v="134"/>
    <n v="25000"/>
    <n v="783"/>
    <m/>
  </r>
  <r>
    <x v="19"/>
    <x v="0"/>
    <m/>
    <n v="189672"/>
    <x v="135"/>
    <m/>
    <n v="-782"/>
    <m/>
  </r>
  <r>
    <x v="19"/>
    <x v="1"/>
    <n v="127098"/>
    <n v="118863"/>
    <x v="136"/>
    <m/>
    <n v="-3"/>
    <s v="• 8235 Retour 1 Fermé_x000a_    • 5170 Fermé_x000a_    • 3065 Rendu par client"/>
  </r>
  <r>
    <x v="19"/>
    <x v="2"/>
    <n v="142478"/>
    <n v="141628"/>
    <x v="137"/>
    <m/>
    <n v="-145"/>
    <s v="• 850 Retour _x000a_• 2 x 1.5 + 1 3L Noir Non prise par client_x000a_• -145 Lave-Sole "/>
  </r>
  <r>
    <x v="19"/>
    <x v="3"/>
    <n v="46891"/>
    <n v="46891"/>
    <x v="138"/>
    <n v="1000"/>
    <n v="-1"/>
    <s v="• -1000 Gasoil"/>
  </r>
  <r>
    <x v="19"/>
    <x v="4"/>
    <m/>
    <m/>
    <x v="5"/>
    <m/>
    <m/>
    <m/>
  </r>
  <r>
    <x v="19"/>
    <x v="5"/>
    <m/>
    <m/>
    <x v="104"/>
    <m/>
    <m/>
    <s v="• -2000 Faysal "/>
  </r>
  <r>
    <x v="19"/>
    <x v="6"/>
    <m/>
    <m/>
    <x v="139"/>
    <m/>
    <m/>
    <s v="• -29830 La famille_x000a_• -15435 El Rahma"/>
  </r>
  <r>
    <x v="19"/>
    <x v="8"/>
    <m/>
    <m/>
    <x v="12"/>
    <n v="1500"/>
    <m/>
    <s v="• -1500 Khaled Vespa"/>
  </r>
  <r>
    <x v="1"/>
    <x v="7"/>
    <n v="480702"/>
    <s v="TOTAL"/>
    <x v="140"/>
    <n v="2500"/>
    <n v="-931"/>
    <m/>
  </r>
  <r>
    <x v="20"/>
    <x v="0"/>
    <m/>
    <n v="173470"/>
    <x v="141"/>
    <m/>
    <n v="-10000"/>
    <s v="• -10000 Reste"/>
  </r>
  <r>
    <x v="20"/>
    <x v="1"/>
    <n v="123310"/>
    <n v="114715"/>
    <x v="142"/>
    <m/>
    <n v="5"/>
    <s v="• 8595 Retour_x000a_    • 4995 Fermé_x000a_    • 3595 Ponge retour par client"/>
  </r>
  <r>
    <x v="20"/>
    <x v="2"/>
    <n v="208597"/>
    <n v="185428"/>
    <x v="143"/>
    <m/>
    <n v="-193"/>
    <s v="• 256 changement prix 2b_x000a_• 22913 A demain SUP DAOUADI_x000a_• 200 Toufik"/>
  </r>
  <r>
    <x v="20"/>
    <x v="3"/>
    <n v="91370"/>
    <n v="91370"/>
    <x v="144"/>
    <m/>
    <n v="-25"/>
    <m/>
  </r>
  <r>
    <x v="20"/>
    <x v="4"/>
    <m/>
    <m/>
    <x v="145"/>
    <m/>
    <m/>
    <s v="• 15500 Rahma Payé"/>
  </r>
  <r>
    <x v="20"/>
    <x v="5"/>
    <m/>
    <m/>
    <x v="80"/>
    <m/>
    <m/>
    <s v="• -1000 da reda"/>
  </r>
  <r>
    <x v="20"/>
    <x v="6"/>
    <m/>
    <m/>
    <x v="81"/>
    <m/>
    <m/>
    <m/>
  </r>
  <r>
    <x v="20"/>
    <x v="8"/>
    <m/>
    <m/>
    <x v="81"/>
    <n v="14000"/>
    <m/>
    <s v="• 14000 Ford sifou par rahim"/>
  </r>
  <r>
    <x v="1"/>
    <x v="7"/>
    <m/>
    <s v="TOTAL"/>
    <x v="146"/>
    <n v="14000"/>
    <n v="-10213"/>
    <m/>
  </r>
  <r>
    <x v="21"/>
    <x v="0"/>
    <m/>
    <n v="176117"/>
    <x v="147"/>
    <n v="8000"/>
    <n v="9998"/>
    <s v="• -8000 Joint de culasse_x000a_• +10000 le 23/12 Payé"/>
  </r>
  <r>
    <x v="21"/>
    <x v="1"/>
    <n v="112203"/>
    <n v="112203"/>
    <x v="148"/>
    <m/>
    <n v="-13"/>
    <m/>
  </r>
  <r>
    <x v="21"/>
    <x v="2"/>
    <n v="123155"/>
    <n v="117680"/>
    <x v="149"/>
    <m/>
    <n v="0"/>
    <s v="• 5475 Retour par client GM"/>
  </r>
  <r>
    <x v="21"/>
    <x v="3"/>
    <n v="103702"/>
    <n v="101662"/>
    <x v="150"/>
    <n v="500"/>
    <n v="-252"/>
    <s v="• 2040 Retour Fermé_x000a_• -500 Gasoil_x000a_• -145 Lave-SOL"/>
  </r>
  <r>
    <x v="21"/>
    <x v="4"/>
    <m/>
    <m/>
    <x v="151"/>
    <m/>
    <m/>
    <s v="• +23415 Versement GM"/>
  </r>
  <r>
    <x v="21"/>
    <x v="5"/>
    <m/>
    <m/>
    <x v="5"/>
    <m/>
    <m/>
    <m/>
  </r>
  <r>
    <x v="21"/>
    <x v="6"/>
    <m/>
    <m/>
    <x v="5"/>
    <m/>
    <m/>
    <m/>
  </r>
  <r>
    <x v="21"/>
    <x v="8"/>
    <m/>
    <m/>
    <x v="152"/>
    <m/>
    <m/>
    <s v="• -18000 Reda"/>
  </r>
  <r>
    <x v="1"/>
    <x v="7"/>
    <m/>
    <s v="TOTAL"/>
    <x v="153"/>
    <n v="8500"/>
    <n v="9733"/>
    <m/>
  </r>
  <r>
    <x v="22"/>
    <x v="0"/>
    <m/>
    <n v="170946"/>
    <x v="154"/>
    <m/>
    <n v="-6"/>
    <m/>
  </r>
  <r>
    <x v="22"/>
    <x v="1"/>
    <n v="134967"/>
    <n v="124557"/>
    <x v="155"/>
    <n v="500"/>
    <n v="-12"/>
    <s v="• 8860 Manque 1,5, 4,5 Lavand_x000a_• 960 Rendu par client_x000a_• 500 Gasoil"/>
  </r>
  <r>
    <x v="22"/>
    <x v="2"/>
    <n v="419590"/>
    <n v="416920"/>
    <x v="156"/>
    <n v="1500"/>
    <n v="0"/>
    <s v="• 2670 Manque 1,5_x000a_• 1500 Vulganisateur + Gasoil"/>
  </r>
  <r>
    <x v="22"/>
    <x v="3"/>
    <n v="232980"/>
    <n v="232980"/>
    <x v="157"/>
    <n v="1000"/>
    <n v="0"/>
    <s v="• 1000 Gasoil"/>
  </r>
  <r>
    <x v="22"/>
    <x v="4"/>
    <m/>
    <m/>
    <x v="158"/>
    <m/>
    <m/>
    <s v="• 15560 Versement Boughrassa (toufik)"/>
  </r>
  <r>
    <x v="22"/>
    <x v="5"/>
    <m/>
    <m/>
    <x v="159"/>
    <m/>
    <m/>
    <s v="• -500 Faysal"/>
  </r>
  <r>
    <x v="22"/>
    <x v="6"/>
    <m/>
    <m/>
    <x v="5"/>
    <m/>
    <m/>
    <m/>
  </r>
  <r>
    <x v="22"/>
    <x v="8"/>
    <m/>
    <m/>
    <x v="5"/>
    <m/>
    <m/>
    <s v="• 1000000 Prise Par LIFE"/>
  </r>
  <r>
    <x v="1"/>
    <x v="7"/>
    <m/>
    <s v="TOTAL"/>
    <x v="160"/>
    <n v="3000"/>
    <n v="-18"/>
    <m/>
  </r>
  <r>
    <x v="23"/>
    <x v="0"/>
    <m/>
    <n v="225039"/>
    <x v="5"/>
    <m/>
    <n v="-225039"/>
    <m/>
  </r>
  <r>
    <x v="23"/>
    <x v="1"/>
    <n v="127425"/>
    <n v="127425"/>
    <x v="161"/>
    <m/>
    <n v="0"/>
    <m/>
  </r>
  <r>
    <x v="23"/>
    <x v="2"/>
    <n v="295807"/>
    <n v="295297"/>
    <x v="162"/>
    <n v="600"/>
    <n v="-407"/>
    <s v="• 300 Koulab_x000a_• 300 Glaciol_x000a_• 510 Retour Manque Assoup bleu"/>
  </r>
  <r>
    <x v="23"/>
    <x v="3"/>
    <n v="99681"/>
    <n v="99681"/>
    <x v="163"/>
    <m/>
    <n v="-21"/>
    <m/>
  </r>
  <r>
    <x v="23"/>
    <x v="4"/>
    <m/>
    <m/>
    <x v="164"/>
    <m/>
    <m/>
    <s v="• 10000 La Famille (Abdou) "/>
  </r>
  <r>
    <x v="23"/>
    <x v="5"/>
    <m/>
    <m/>
    <x v="80"/>
    <m/>
    <m/>
    <s v="• -1000 Faysal"/>
  </r>
  <r>
    <x v="23"/>
    <x v="6"/>
    <m/>
    <m/>
    <x v="165"/>
    <m/>
    <m/>
    <s v="• -3000 Crédit Farouk kares (Amine)"/>
  </r>
  <r>
    <x v="23"/>
    <x v="8"/>
    <m/>
    <m/>
    <x v="5"/>
    <m/>
    <m/>
    <m/>
  </r>
  <r>
    <x v="1"/>
    <x v="7"/>
    <m/>
    <s v="TOTAL"/>
    <x v="166"/>
    <n v="600"/>
    <n v="-225467"/>
    <m/>
  </r>
  <r>
    <x v="24"/>
    <x v="0"/>
    <m/>
    <n v="211805"/>
    <x v="167"/>
    <m/>
    <n v="220270"/>
    <s v="• Reste: 4769"/>
  </r>
  <r>
    <x v="24"/>
    <x v="1"/>
    <n v="184576"/>
    <n v="180140"/>
    <x v="168"/>
    <n v="500"/>
    <n v="0"/>
    <s v="• -500 Gasoil_x000a_• 1116 Retour 1 Fermé_x000a_• 3320 Non chargé"/>
  </r>
  <r>
    <x v="24"/>
    <x v="2"/>
    <n v="287963"/>
    <n v="202033"/>
    <x v="169"/>
    <n v="500"/>
    <n v="-8"/>
    <s v="• 500 Gasoil_x000a_• 85930 Retour Par Client (10L, Vaisselle)"/>
  </r>
  <r>
    <x v="24"/>
    <x v="3"/>
    <n v="310454"/>
    <n v="304154"/>
    <x v="170"/>
    <n v="1000"/>
    <n v="1"/>
    <s v="• 6300 Manque non chargé f camion_x000a_• 1000 Gasoil"/>
  </r>
  <r>
    <x v="24"/>
    <x v="4"/>
    <m/>
    <m/>
    <x v="81"/>
    <m/>
    <m/>
    <m/>
  </r>
  <r>
    <x v="24"/>
    <x v="5"/>
    <m/>
    <m/>
    <x v="80"/>
    <m/>
    <m/>
    <s v="• -1000 Faysal"/>
  </r>
  <r>
    <x v="24"/>
    <x v="6"/>
    <m/>
    <m/>
    <x v="81"/>
    <m/>
    <m/>
    <m/>
  </r>
  <r>
    <x v="24"/>
    <x v="8"/>
    <m/>
    <m/>
    <x v="171"/>
    <m/>
    <m/>
    <s v="• +400 da rendu par houari koulab 300 da"/>
  </r>
  <r>
    <x v="1"/>
    <x v="7"/>
    <m/>
    <s v="TOTAL"/>
    <x v="172"/>
    <n v="2000"/>
    <n v="220263"/>
    <m/>
  </r>
  <r>
    <x v="25"/>
    <x v="0"/>
    <m/>
    <n v="213096"/>
    <x v="173"/>
    <m/>
    <n v="4504"/>
    <s v="• 4500 Le 28-12 Payé, 210 L.rincage retour"/>
  </r>
  <r>
    <x v="25"/>
    <x v="1"/>
    <n v="149555"/>
    <n v="142595"/>
    <x v="174"/>
    <m/>
    <n v="0"/>
    <s v="• 5940 Retour 2 Fermé_x000a_• 1020 Rendu par client"/>
  </r>
  <r>
    <x v="25"/>
    <x v="2"/>
    <n v="130225"/>
    <n v="130225"/>
    <x v="175"/>
    <n v="7800"/>
    <n v="-40"/>
    <s v="• 6400 Huile_x000a_• 1400 Vidange + Lavage"/>
  </r>
  <r>
    <x v="25"/>
    <x v="3"/>
    <n v="57214"/>
    <n v="57214"/>
    <x v="176"/>
    <n v="500"/>
    <n v="1"/>
    <s v="• 500 Da Gasoil"/>
  </r>
  <r>
    <x v="25"/>
    <x v="4"/>
    <m/>
    <m/>
    <x v="177"/>
    <m/>
    <m/>
    <s v="• +7725 AG DAWADE LOMPERD (Amine)"/>
  </r>
  <r>
    <x v="25"/>
    <x v="5"/>
    <m/>
    <m/>
    <x v="5"/>
    <m/>
    <m/>
    <m/>
  </r>
  <r>
    <x v="25"/>
    <x v="6"/>
    <m/>
    <m/>
    <x v="178"/>
    <m/>
    <m/>
    <s v="• -6255 AG DAWADE LOMPERD (Rahim)_x000a_• -7200 SUP LA FAMILLE SD (Abdou)"/>
  </r>
  <r>
    <x v="25"/>
    <x v="8"/>
    <m/>
    <n v="77481"/>
    <x v="81"/>
    <m/>
    <m/>
    <m/>
  </r>
  <r>
    <x v="1"/>
    <x v="7"/>
    <m/>
    <s v="TOTAL"/>
    <x v="179"/>
    <n v="8300"/>
    <n v="4465"/>
    <m/>
  </r>
  <r>
    <x v="26"/>
    <x v="0"/>
    <m/>
    <n v="214637"/>
    <x v="180"/>
    <m/>
    <n v="-2"/>
    <m/>
  </r>
  <r>
    <x v="26"/>
    <x v="1"/>
    <n v="135198"/>
    <n v="133613"/>
    <x v="181"/>
    <n v="1400"/>
    <n v="2"/>
    <s v="• 1000 Gasoil_x000a_• 400 Bache pour DFM_x000a_• 1585 Retour Par Client"/>
  </r>
  <r>
    <x v="26"/>
    <x v="2"/>
    <n v="190198"/>
    <n v="158223"/>
    <x v="182"/>
    <n v="1000"/>
    <n v="-43"/>
    <s v="• 31540 A Demain Dawed Gros_x000a_• 1000 Gasoil DFM"/>
  </r>
  <r>
    <x v="26"/>
    <x v="3"/>
    <n v="104126"/>
    <n v="104126"/>
    <x v="183"/>
    <m/>
    <n v="0"/>
    <m/>
  </r>
  <r>
    <x v="26"/>
    <x v="4"/>
    <m/>
    <m/>
    <x v="184"/>
    <m/>
    <m/>
    <s v="• 20000 Versement EL Madina (toufik)_x000a_• 7200 LA FAMILLE SD PAYE (abdou)"/>
  </r>
  <r>
    <x v="26"/>
    <x v="5"/>
    <m/>
    <m/>
    <x v="81"/>
    <m/>
    <m/>
    <m/>
  </r>
  <r>
    <x v="26"/>
    <x v="6"/>
    <m/>
    <m/>
    <x v="185"/>
    <m/>
    <m/>
    <s v="• 8266 Credit AG MEKAOUI ALI SIDI GHILAS_x000a_• 20235 Credit Miloud Ouhlima"/>
  </r>
  <r>
    <x v="26"/>
    <x v="8"/>
    <m/>
    <m/>
    <x v="186"/>
    <n v="12500"/>
    <m/>
    <s v="• Rendu houari 1000 Lavage, 400 Vidnge_x000a_• 10000 Fethi Permis_x000a_• 12500 Fethi Pneu Vespa"/>
  </r>
  <r>
    <x v="1"/>
    <x v="7"/>
    <m/>
    <s v="TOTAL"/>
    <x v="187"/>
    <n v="14900"/>
    <n v="-43"/>
    <m/>
  </r>
  <r>
    <x v="27"/>
    <x v="0"/>
    <m/>
    <n v="200610"/>
    <x v="188"/>
    <m/>
    <n v="600000"/>
    <s v="• +600000 VERSEMENT MOHAMED"/>
  </r>
  <r>
    <x v="27"/>
    <x v="1"/>
    <n v="62213"/>
    <n v="60313"/>
    <x v="189"/>
    <m/>
    <n v="2"/>
    <s v="• 1900 Retour non chargé"/>
  </r>
  <r>
    <x v="27"/>
    <x v="2"/>
    <n v="93710"/>
    <n v="92760"/>
    <x v="190"/>
    <m/>
    <n v="0"/>
    <s v="• 950 Retour non charge L.Main 2,5"/>
  </r>
  <r>
    <x v="27"/>
    <x v="3"/>
    <n v="80150"/>
    <n v="80150"/>
    <x v="191"/>
    <n v="1000"/>
    <n v="-15"/>
    <m/>
  </r>
  <r>
    <x v="27"/>
    <x v="4"/>
    <m/>
    <m/>
    <x v="192"/>
    <m/>
    <m/>
    <s v="• 20235 Miloud Ouhlima_x000a_• 4440 Madjid City Kabyle_x000a_• 15725 Lyn Marcket_x000a_• 18535 GM1"/>
  </r>
  <r>
    <x v="27"/>
    <x v="5"/>
    <m/>
    <m/>
    <x v="193"/>
    <m/>
    <m/>
    <s v="• 1000 Faysal DFM_x000a_• 2500 Faysal _x000a_• 2000 Brahim_x000a_• 20000 Reda"/>
  </r>
  <r>
    <x v="27"/>
    <x v="6"/>
    <m/>
    <m/>
    <x v="81"/>
    <m/>
    <m/>
    <m/>
  </r>
  <r>
    <x v="27"/>
    <x v="8"/>
    <m/>
    <m/>
    <x v="81"/>
    <m/>
    <m/>
    <m/>
  </r>
  <r>
    <x v="1"/>
    <x v="7"/>
    <m/>
    <s v="TOTAL"/>
    <x v="194"/>
    <n v="1000"/>
    <n v="59998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2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1">
  <location ref="A72:E80" firstHeaderRow="0" firstDataRow="1" firstDataCol="1" rowPageCount="1" colPageCount="1"/>
  <pivotFields count="8">
    <pivotField axis="axisPage" multipleItemSelectionAllowed="1" showAll="0">
      <items count="29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1"/>
        <item t="default"/>
      </items>
    </pivotField>
    <pivotField axis="axisRow" showAll="0" sortType="ascending">
      <items count="10">
        <item x="5"/>
        <item x="1"/>
        <item x="6"/>
        <item x="0"/>
        <item h="1" x="8"/>
        <item x="3"/>
        <item x="2"/>
        <item x="4"/>
        <item h="1" x="7"/>
        <item t="default"/>
      </items>
    </pivotField>
    <pivotField dataField="1" showAll="0"/>
    <pivotField dataField="1" showAll="0"/>
    <pivotField dataField="1" showAll="0">
      <items count="196">
        <item x="88"/>
        <item x="64"/>
        <item x="34"/>
        <item x="54"/>
        <item x="139"/>
        <item x="185"/>
        <item x="27"/>
        <item x="96"/>
        <item x="193"/>
        <item x="47"/>
        <item x="186"/>
        <item x="152"/>
        <item x="119"/>
        <item x="111"/>
        <item x="178"/>
        <item x="95"/>
        <item x="71"/>
        <item x="133"/>
        <item x="97"/>
        <item x="79"/>
        <item x="120"/>
        <item x="72"/>
        <item x="13"/>
        <item x="63"/>
        <item x="62"/>
        <item x="165"/>
        <item x="104"/>
        <item x="12"/>
        <item x="55"/>
        <item x="112"/>
        <item x="80"/>
        <item x="103"/>
        <item x="159"/>
        <item x="41"/>
        <item x="5"/>
        <item x="28"/>
        <item x="171"/>
        <item x="20"/>
        <item x="118"/>
        <item x="4"/>
        <item x="94"/>
        <item x="132"/>
        <item x="177"/>
        <item x="164"/>
        <item x="11"/>
        <item x="145"/>
        <item x="158"/>
        <item x="26"/>
        <item x="78"/>
        <item x="70"/>
        <item x="40"/>
        <item x="19"/>
        <item x="151"/>
        <item x="53"/>
        <item x="110"/>
        <item x="87"/>
        <item x="184"/>
        <item x="126"/>
        <item x="138"/>
        <item x="176"/>
        <item x="192"/>
        <item x="189"/>
        <item x="85"/>
        <item x="38"/>
        <item x="8"/>
        <item x="46"/>
        <item x="18"/>
        <item x="61"/>
        <item x="191"/>
        <item x="75"/>
        <item x="52"/>
        <item x="102"/>
        <item x="107"/>
        <item x="144"/>
        <item x="190"/>
        <item x="10"/>
        <item x="2"/>
        <item x="60"/>
        <item x="131"/>
        <item x="163"/>
        <item x="150"/>
        <item x="17"/>
        <item x="183"/>
        <item x="59"/>
        <item x="109"/>
        <item x="31"/>
        <item x="91"/>
        <item x="148"/>
        <item x="142"/>
        <item x="100"/>
        <item x="149"/>
        <item x="136"/>
        <item x="125"/>
        <item x="175"/>
        <item x="155"/>
        <item x="58"/>
        <item x="161"/>
        <item x="130"/>
        <item x="181"/>
        <item x="1"/>
        <item x="16"/>
        <item x="33"/>
        <item x="77"/>
        <item x="67"/>
        <item x="137"/>
        <item x="174"/>
        <item x="115"/>
        <item x="68"/>
        <item x="44"/>
        <item x="84"/>
        <item x="106"/>
        <item x="182"/>
        <item x="23"/>
        <item x="129"/>
        <item x="92"/>
        <item x="141"/>
        <item x="7"/>
        <item x="22"/>
        <item x="74"/>
        <item x="123"/>
        <item x="124"/>
        <item x="83"/>
        <item x="108"/>
        <item x="154"/>
        <item x="43"/>
        <item x="50"/>
        <item x="93"/>
        <item x="116"/>
        <item x="57"/>
        <item x="76"/>
        <item x="147"/>
        <item x="168"/>
        <item x="39"/>
        <item x="0"/>
        <item x="143"/>
        <item x="135"/>
        <item x="3"/>
        <item x="15"/>
        <item x="90"/>
        <item x="101"/>
        <item x="169"/>
        <item x="66"/>
        <item x="99"/>
        <item x="45"/>
        <item x="180"/>
        <item x="173"/>
        <item x="37"/>
        <item x="49"/>
        <item x="128"/>
        <item x="114"/>
        <item x="157"/>
        <item x="25"/>
        <item x="122"/>
        <item x="30"/>
        <item x="117"/>
        <item x="51"/>
        <item x="86"/>
        <item x="69"/>
        <item x="24"/>
        <item x="162"/>
        <item x="170"/>
        <item x="9"/>
        <item x="36"/>
        <item x="156"/>
        <item x="167"/>
        <item x="65"/>
        <item x="32"/>
        <item x="140"/>
        <item x="153"/>
        <item x="113"/>
        <item x="166"/>
        <item x="21"/>
        <item x="89"/>
        <item x="179"/>
        <item x="146"/>
        <item x="82"/>
        <item x="48"/>
        <item x="187"/>
        <item x="105"/>
        <item x="98"/>
        <item x="6"/>
        <item x="134"/>
        <item x="14"/>
        <item x="56"/>
        <item x="127"/>
        <item x="73"/>
        <item x="121"/>
        <item x="188"/>
        <item x="35"/>
        <item x="29"/>
        <item x="42"/>
        <item x="160"/>
        <item x="194"/>
        <item x="172"/>
        <item x="81"/>
        <item t="default"/>
      </items>
    </pivotField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. VERSEMENT" fld="4" baseField="1" baseItem="0"/>
    <dataField name="S. COMMANDE" fld="2" baseField="1" baseItem="0"/>
    <dataField name="S. LOGICIEL" fld="3" baseField="1" baseItem="0"/>
    <dataField name="S. CHARGE" fld="5" baseField="1" baseItem="0"/>
  </dataFields>
  <formats count="2">
    <format dxfId="14">
      <pivotArea type="all" dataOnly="0" outline="0" fieldPosition="0"/>
    </format>
    <format dxfId="13">
      <pivotArea type="all" dataOnly="0" outline="0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3" cacheId="1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1">
  <location ref="A5:F11" firstHeaderRow="0" firstDataRow="1" firstDataCol="1" rowPageCount="1" colPageCount="1"/>
  <pivotFields count="8">
    <pivotField axis="axisPage" showAll="0">
      <items count="28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1"/>
        <item t="default"/>
      </items>
    </pivotField>
    <pivotField axis="axisRow" showAll="0">
      <items count="8">
        <item x="2"/>
        <item x="3"/>
        <item x="5"/>
        <item x="1"/>
        <item x="0"/>
        <item h="1" x="6"/>
        <item h="1"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. Livraison" fld="4" baseField="1" baseItem="0"/>
    <dataField name="S. DEFF" fld="6" baseField="1" baseItem="0"/>
    <dataField name="S. CHARGE" fld="5" baseField="1" baseItem="0"/>
    <dataField name="S.LOGICIEL" fld="3" baseField="1" baseItem="0"/>
    <dataField name="S. COMMANDE" fld="2" baseField="1" baseItem="0"/>
  </dataFields>
  <formats count="2">
    <format dxfId="16">
      <pivotArea type="all" dataOnly="0" outline="0" fieldPosition="0"/>
    </format>
    <format dxfId="15">
      <pivotArea type="all" dataOnly="0" outline="0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4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4"/>
          </reference>
          <reference field="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4"/>
          </reference>
          <reference field="1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4"/>
          </reference>
          <reference field="1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1">
  <location ref="A36:F41" firstHeaderRow="0" firstDataRow="1" firstDataCol="1" rowPageCount="1" colPageCount="1"/>
  <pivotFields count="8">
    <pivotField axis="axisPage" showAll="0">
      <items count="28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1"/>
        <item t="default"/>
      </items>
    </pivotField>
    <pivotField axis="axisRow" showAll="0">
      <items count="7">
        <item x="0"/>
        <item h="1" x="4"/>
        <item x="2"/>
        <item x="3"/>
        <item x="1"/>
        <item h="1"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>
      <items count="104">
        <item x="43"/>
        <item x="57"/>
        <item x="65"/>
        <item x="101"/>
        <item x="35"/>
        <item x="15"/>
        <item x="90"/>
        <item x="26"/>
        <item x="56"/>
        <item x="86"/>
        <item x="13"/>
        <item x="102"/>
        <item x="19"/>
        <item x="4"/>
        <item x="6"/>
        <item x="75"/>
        <item x="53"/>
        <item x="14"/>
        <item x="27"/>
        <item x="46"/>
        <item x="68"/>
        <item x="80"/>
        <item x="88"/>
        <item x="40"/>
        <item x="52"/>
        <item x="79"/>
        <item x="94"/>
        <item x="10"/>
        <item x="97"/>
        <item x="93"/>
        <item x="99"/>
        <item x="18"/>
        <item x="1"/>
        <item x="91"/>
        <item x="49"/>
        <item x="32"/>
        <item x="74"/>
        <item x="11"/>
        <item x="96"/>
        <item x="36"/>
        <item x="3"/>
        <item x="39"/>
        <item x="98"/>
        <item x="85"/>
        <item x="60"/>
        <item x="63"/>
        <item x="30"/>
        <item x="92"/>
        <item x="50"/>
        <item x="72"/>
        <item x="69"/>
        <item x="31"/>
        <item x="24"/>
        <item x="76"/>
        <item x="34"/>
        <item x="23"/>
        <item x="21"/>
        <item x="47"/>
        <item x="67"/>
        <item x="89"/>
        <item x="28"/>
        <item x="25"/>
        <item x="38"/>
        <item x="62"/>
        <item x="17"/>
        <item x="16"/>
        <item x="81"/>
        <item x="66"/>
        <item x="51"/>
        <item x="2"/>
        <item x="22"/>
        <item x="8"/>
        <item x="61"/>
        <item x="7"/>
        <item x="84"/>
        <item x="77"/>
        <item x="82"/>
        <item x="100"/>
        <item x="71"/>
        <item x="42"/>
        <item x="54"/>
        <item x="44"/>
        <item x="73"/>
        <item x="33"/>
        <item x="9"/>
        <item x="20"/>
        <item x="41"/>
        <item x="59"/>
        <item x="37"/>
        <item x="45"/>
        <item x="64"/>
        <item x="55"/>
        <item x="83"/>
        <item x="12"/>
        <item x="48"/>
        <item x="70"/>
        <item x="29"/>
        <item x="95"/>
        <item x="78"/>
        <item x="58"/>
        <item x="87"/>
        <item x="0"/>
        <item x="5"/>
        <item t="default"/>
      </items>
    </pivotField>
  </pivotFields>
  <rowFields count="1">
    <field x="1"/>
  </rowFields>
  <rowItems count="5">
    <i>
      <x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. Livraison" fld="4" baseField="1" baseItem="0"/>
    <dataField name="S. COMMANDE" fld="2" baseField="1" baseItem="0"/>
    <dataField name="S. DIFF" fld="6" baseField="1" baseItem="0"/>
    <dataField name="S.LOGICIEL" fld="3" baseField="1" baseItem="0"/>
    <dataField name="S, CHARGE" fld="5" baseField="1" baseItem="0"/>
  </dataFields>
  <formats count="3">
    <format dxfId="19">
      <pivotArea type="all" dataOnly="0" outline="0" fieldPosition="0"/>
    </format>
    <format dxfId="18">
      <pivotArea type="all" dataOnly="0" outline="0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au8" displayName="Tableau8" ref="A5:J78" totalsRowCount="1" headerRowDxfId="109" dataDxfId="108" totalsRowDxfId="107">
  <autoFilter ref="A5:J77"/>
  <tableColumns count="10">
    <tableColumn id="1" name="Livreur" totalsRowLabel="Total" dataDxfId="106" totalsRowDxfId="105"/>
    <tableColumn id="2" name="Date" dataDxfId="104" totalsRowDxfId="103"/>
    <tableColumn id="3" name="T.Logiciel" totalsRowFunction="sum" dataDxfId="102" totalsRowDxfId="101"/>
    <tableColumn id="4" name="Versement" totalsRowFunction="sum" totalsRowDxfId="100"/>
    <tableColumn id="10" name="Charge" totalsRowFunction="sum" dataDxfId="99" totalsRowDxfId="98"/>
    <tableColumn id="5" name="Différence" totalsRowFunction="sum" dataDxfId="97" totalsRowDxfId="96">
      <calculatedColumnFormula>Tableau8[[#This Row],[Versement]]-Tableau8[[#This Row],[T.Logiciel]]+Tableau8[[#This Row],[Charge]]</calculatedColumnFormula>
    </tableColumn>
    <tableColumn id="7" name="Remise %" dataDxfId="95" totalsRowDxfId="94"/>
    <tableColumn id="8" name="T.Remise" dataDxfId="93" totalsRowDxfId="92"/>
    <tableColumn id="9" name="Total" totalsRowFunction="sum" dataDxfId="91" totalsRowDxfId="90">
      <calculatedColumnFormula>Tableau8[[#This Row],[Versement]]-Tableau8[[#This Row],[Charge]]-Tableau8[[#This Row],[T.Remise]]</calculatedColumnFormula>
    </tableColumn>
    <tableColumn id="6" name="Observation" dataDxfId="89" totalsRowDxfId="8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1" name="Tableau9" displayName="Tableau9" ref="A3:H96" totalsRowCount="1" headerRowDxfId="87" dataDxfId="86" totalsRowDxfId="85" totalsRowBorderDxfId="84">
  <autoFilter ref="A3:H95"/>
  <tableColumns count="8">
    <tableColumn id="1" name="Date" totalsRowLabel="Total" totalsRowDxfId="83"/>
    <tableColumn id="2" name="Livreur" totalsRowFunction="count" dataDxfId="82" totalsRowDxfId="81"/>
    <tableColumn id="8" name="T. Command" dataDxfId="80" totalsRowDxfId="79"/>
    <tableColumn id="3" name="T. Logiciel" totalsRowFunction="sum" dataDxfId="78" totalsRowDxfId="77"/>
    <tableColumn id="4" name="Versement" totalsRowFunction="sum" dataDxfId="76" totalsRowDxfId="75"/>
    <tableColumn id="5" name="Charge" totalsRowFunction="sum" dataDxfId="74" totalsRowDxfId="73"/>
    <tableColumn id="6" name="Différence" totalsRowFunction="sum" dataDxfId="72" totalsRowDxfId="71">
      <calculatedColumnFormula>Tableau9[[#This Row],[Charge]]+Tableau9[[#This Row],[Versement]]-Tableau9[[#This Row],[T. Logiciel]]</calculatedColumnFormula>
    </tableColumn>
    <tableColumn id="7" name="Observation" totalsRowDxfId="70"/>
  </tableColumns>
  <tableStyleInfo name="TableStyleLight8" showFirstColumn="1" showLastColumn="0" showRowStripes="1" showColumnStripes="1"/>
</table>
</file>

<file path=xl/tables/table3.xml><?xml version="1.0" encoding="utf-8"?>
<table xmlns="http://schemas.openxmlformats.org/spreadsheetml/2006/main" id="3" name="Tableau10" displayName="Tableau10" ref="A4:H149" totalsRowCount="1" headerRowDxfId="69" dataDxfId="68" totalsRowDxfId="67">
  <autoFilter ref="A4:H148"/>
  <tableColumns count="8">
    <tableColumn id="1" name="DATE" totalsRowLabel="Total" totalsRowDxfId="66"/>
    <tableColumn id="2" name="LIVREUR" dataDxfId="65" totalsRowDxfId="64"/>
    <tableColumn id="3" name="T. COMMANDE" dataDxfId="63" totalsRowDxfId="62"/>
    <tableColumn id="4" name="T.LOGICIEL" dataDxfId="61" totalsRowDxfId="60"/>
    <tableColumn id="5" name="VERSEMENT" totalsRowFunction="sum" dataDxfId="59" totalsRowDxfId="58"/>
    <tableColumn id="6" name="CHARGE" totalsRowFunction="sum" dataDxfId="57" totalsRowDxfId="56"/>
    <tableColumn id="7" name="DEFF" totalsRowFunction="sum" dataDxfId="55" totalsRowDxfId="54"/>
    <tableColumn id="8" name="OBSERVATION" totalsRowFunction="count" dataDxfId="53" totalsRowDxfId="52"/>
  </tableColumns>
  <tableStyleInfo name="TableStyleLight8" showFirstColumn="0" showLastColumn="0" showRowStripes="1" showColumnStripes="1"/>
</table>
</file>

<file path=xl/tables/table4.xml><?xml version="1.0" encoding="utf-8"?>
<table xmlns="http://schemas.openxmlformats.org/spreadsheetml/2006/main" id="5" name="Tableau5" displayName="Tableau5" ref="A155:D182" totalsRowCount="1" headerRowDxfId="51" dataDxfId="50">
  <autoFilter ref="A155:D181"/>
  <tableColumns count="4">
    <tableColumn id="1" name="DATE" totalsRowLabel="Total" dataDxfId="49" totalsRowDxfId="48"/>
    <tableColumn id="2" name="T. Livreur" totalsRowFunction="custom" dataDxfId="47" totalsRowDxfId="46">
      <totalsRowFormula>E143</totalsRowFormula>
    </tableColumn>
    <tableColumn id="3" name="Mohamed" totalsRowFunction="sum" dataDxfId="45" totalsRowDxfId="44"/>
    <tableColumn id="4" name="Total" totalsRowFunction="sum" dataDxfId="43" totalsRowDxfId="42"/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id="6" name="Tableau11" displayName="Tableau11" ref="A4:H161" totalsRowCount="1" headerRowDxfId="41" dataDxfId="40" totalsRowDxfId="39">
  <autoFilter ref="A4:H160"/>
  <tableColumns count="8">
    <tableColumn id="1" name="DATE" totalsRowLabel="Total" totalsRowDxfId="38"/>
    <tableColumn id="2" name="LIVREUR" totalsRowDxfId="37"/>
    <tableColumn id="3" name="T. COMMANDE" totalsRowDxfId="36"/>
    <tableColumn id="4" name="T.LOGICIEL" totalsRowDxfId="35"/>
    <tableColumn id="5" name="VERSEMENT" totalsRowFunction="sum" totalsRowDxfId="34"/>
    <tableColumn id="6" name="CHARGE" totalsRowFunction="sum" totalsRowDxfId="33"/>
    <tableColumn id="7" name="DIFF" totalsRowFunction="sum" totalsRowDxfId="32"/>
    <tableColumn id="8" name="OBSERVATION" totalsRowFunction="count" totalsRowDxfId="31"/>
  </tableColumns>
  <tableStyleInfo name="TableStyleLight8" showFirstColumn="0" showLastColumn="0" showRowStripes="1" showColumnStripes="1"/>
</table>
</file>

<file path=xl/tables/table6.xml><?xml version="1.0" encoding="utf-8"?>
<table xmlns="http://schemas.openxmlformats.org/spreadsheetml/2006/main" id="7" name="Tableau12" displayName="Tableau12" ref="A1:H243" totalsRowCount="1" headerRowDxfId="30" dataDxfId="29" totalsRowDxfId="28">
  <autoFilter ref="A1:H242"/>
  <tableColumns count="8">
    <tableColumn id="1" name="DATE" totalsRowLabel="Total" dataDxfId="27" totalsRowDxfId="7"/>
    <tableColumn id="2" name="LIVREUR" dataDxfId="26" totalsRowDxfId="6"/>
    <tableColumn id="3" name="T. COMMANDE" dataDxfId="25" totalsRowDxfId="5"/>
    <tableColumn id="4" name="T.LOGICIEL" dataDxfId="24" totalsRowDxfId="4"/>
    <tableColumn id="5" name="VERSEMENT" totalsRowFunction="sum" dataDxfId="23" totalsRowDxfId="3"/>
    <tableColumn id="6" name="CHARGE" totalsRowFunction="sum" dataDxfId="22" totalsRowDxfId="2"/>
    <tableColumn id="7" name="DIFF" totalsRowFunction="sum" dataDxfId="21" totalsRowDxfId="1"/>
    <tableColumn id="8" name="OBSERVATION" dataDxfId="20" totalsRowDxfId="0"/>
  </tableColumns>
  <tableStyleInfo name="TableStyleLight8" showFirstColumn="0" showLastColumn="0" showRowStripes="1" showColumnStripes="1"/>
</table>
</file>

<file path=xl/tables/table7.xml><?xml version="1.0" encoding="utf-8"?>
<table xmlns="http://schemas.openxmlformats.org/spreadsheetml/2006/main" id="4" name="Tableau4" displayName="Tableau4" ref="A5:B8" totalsRowCount="1" headerRowDxfId="12">
  <autoFilter ref="A5:B7"/>
  <tableColumns count="2">
    <tableColumn id="1" name="Date" totalsRowLabel="Total" dataDxfId="11" totalsRowDxfId="10"/>
    <tableColumn id="2" name="Versement" totalsRowFunction="sum" dataDxfId="9" totalsRowDxfId="8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2:K87"/>
  <sheetViews>
    <sheetView topLeftCell="A64" workbookViewId="0">
      <selection activeCell="B64" sqref="B64"/>
    </sheetView>
  </sheetViews>
  <sheetFormatPr baseColWidth="10" defaultColWidth="11.3984375" defaultRowHeight="13.8"/>
  <cols>
    <col min="1" max="1" width="20.3984375" style="32" customWidth="1"/>
    <col min="2" max="2" width="20.3984375" style="32" bestFit="1" customWidth="1"/>
    <col min="3" max="3" width="21.09765625" style="31" bestFit="1" customWidth="1"/>
    <col min="4" max="4" width="20.3984375" style="32" bestFit="1" customWidth="1"/>
    <col min="5" max="5" width="16.3984375" style="32" bestFit="1" customWidth="1"/>
    <col min="6" max="6" width="19" style="32" customWidth="1"/>
    <col min="7" max="7" width="12.09765625" style="32" hidden="1" customWidth="1"/>
    <col min="8" max="8" width="12.8984375" style="32" hidden="1" customWidth="1"/>
    <col min="9" max="9" width="26.09765625" style="32" customWidth="1"/>
    <col min="10" max="10" width="51.3984375" style="32" bestFit="1" customWidth="1"/>
  </cols>
  <sheetData>
    <row r="2" spans="1:11" ht="14.4" customHeight="1">
      <c r="A2" s="27" t="s">
        <v>0</v>
      </c>
      <c r="B2" s="27"/>
      <c r="C2" s="29"/>
      <c r="D2" s="1"/>
      <c r="F2" s="1"/>
      <c r="G2" s="28">
        <v>45870</v>
      </c>
      <c r="H2" s="28"/>
      <c r="K2" s="207"/>
    </row>
    <row r="3" spans="1:11" ht="14.4" customHeight="1">
      <c r="A3" s="27"/>
      <c r="B3" s="27"/>
      <c r="C3" s="29"/>
      <c r="D3" s="1"/>
      <c r="F3" s="1"/>
      <c r="G3" s="28"/>
      <c r="H3" s="28"/>
      <c r="K3" s="207"/>
    </row>
    <row r="5" spans="1:11" ht="47.4" customHeight="1">
      <c r="A5" s="3" t="s">
        <v>1</v>
      </c>
      <c r="B5" s="3" t="s">
        <v>2</v>
      </c>
      <c r="C5" s="30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207"/>
    </row>
    <row r="6" spans="1:11" ht="23.4">
      <c r="A6" s="4" t="s">
        <v>11</v>
      </c>
      <c r="B6" s="69">
        <v>45871</v>
      </c>
      <c r="C6" s="37">
        <v>121919</v>
      </c>
      <c r="D6" s="38">
        <v>117900</v>
      </c>
      <c r="E6" s="42">
        <v>1000</v>
      </c>
      <c r="F6" s="38">
        <f>Tableau8[[#This Row],[Versement]]-Tableau8[[#This Row],[T.Logiciel]]+Tableau8[[#This Row],[Charge]]</f>
        <v>-3019</v>
      </c>
      <c r="G6" s="43"/>
      <c r="H6" s="38"/>
      <c r="I6" s="38">
        <f>Tableau8[[#This Row],[Versement]]-Tableau8[[#This Row],[Charge]]-Tableau8[[#This Row],[T.Remise]]</f>
        <v>116900</v>
      </c>
      <c r="J6" s="10"/>
      <c r="K6" s="207"/>
    </row>
    <row r="7" spans="1:11" ht="24" thickBot="1">
      <c r="A7" s="21" t="s">
        <v>12</v>
      </c>
      <c r="B7" s="70"/>
      <c r="C7" s="39">
        <v>211857</v>
      </c>
      <c r="D7" s="40">
        <v>211850</v>
      </c>
      <c r="E7" s="44">
        <v>0</v>
      </c>
      <c r="F7" s="40">
        <f>Tableau8[[#This Row],[Versement]]-Tableau8[[#This Row],[T.Logiciel]]+Tableau8[[#This Row],[Charge]]</f>
        <v>-7</v>
      </c>
      <c r="G7" s="45"/>
      <c r="H7" s="40"/>
      <c r="I7" s="40">
        <f>Tableau8[[#This Row],[Versement]]-Tableau8[[#This Row],[Charge]]-Tableau8[[#This Row],[T.Remise]]</f>
        <v>211850</v>
      </c>
      <c r="J7" s="22"/>
      <c r="K7" s="207"/>
    </row>
    <row r="8" spans="1:11" ht="23.4">
      <c r="A8" s="5" t="s">
        <v>13</v>
      </c>
      <c r="B8" s="71">
        <v>45872</v>
      </c>
      <c r="C8" s="37">
        <v>120435</v>
      </c>
      <c r="D8" s="41">
        <v>119500</v>
      </c>
      <c r="E8" s="46">
        <v>0</v>
      </c>
      <c r="F8" s="38">
        <f>Tableau8[[#This Row],[Versement]]-Tableau8[[#This Row],[T.Logiciel]]+Tableau8[[#This Row],[Charge]]</f>
        <v>-935</v>
      </c>
      <c r="G8" s="43"/>
      <c r="H8" s="38"/>
      <c r="I8" s="41">
        <f>Tableau8[[#This Row],[Versement]]-Tableau8[[#This Row],[Charge]]-Tableau8[[#This Row],[T.Remise]]</f>
        <v>119500</v>
      </c>
      <c r="J8" s="11"/>
      <c r="K8" s="2"/>
    </row>
    <row r="9" spans="1:11" ht="24" thickBot="1">
      <c r="A9" s="21" t="s">
        <v>11</v>
      </c>
      <c r="B9" s="70"/>
      <c r="C9" s="39">
        <v>242462</v>
      </c>
      <c r="D9" s="40">
        <f>61690+180450</f>
        <v>242140</v>
      </c>
      <c r="E9" s="44">
        <v>1000</v>
      </c>
      <c r="F9" s="40">
        <f>Tableau8[[#This Row],[Versement]]-Tableau8[[#This Row],[T.Logiciel]]+Tableau8[[#This Row],[Charge]]</f>
        <v>678</v>
      </c>
      <c r="G9" s="45"/>
      <c r="H9" s="40"/>
      <c r="I9" s="40">
        <f>Tableau8[[#This Row],[Versement]]-Tableau8[[#This Row],[Charge]]-Tableau8[[#This Row],[T.Remise]]</f>
        <v>241140</v>
      </c>
      <c r="J9" s="22"/>
      <c r="K9" s="207"/>
    </row>
    <row r="10" spans="1:11" ht="23.4">
      <c r="A10" s="4" t="s">
        <v>13</v>
      </c>
      <c r="B10" s="72">
        <v>45873</v>
      </c>
      <c r="C10" s="37">
        <v>196080</v>
      </c>
      <c r="D10" s="41">
        <v>196085</v>
      </c>
      <c r="E10" s="46">
        <v>500</v>
      </c>
      <c r="F10" s="41">
        <f>Tableau8[[#This Row],[Versement]]-Tableau8[[#This Row],[T.Logiciel]]+Tableau8[[#This Row],[Charge]]</f>
        <v>505</v>
      </c>
      <c r="G10" s="43"/>
      <c r="H10" s="41"/>
      <c r="I10" s="41">
        <f>Tableau8[[#This Row],[Versement]]-Tableau8[[#This Row],[Charge]]-Tableau8[[#This Row],[T.Remise]]</f>
        <v>195585</v>
      </c>
      <c r="J10" s="11"/>
      <c r="K10" s="207"/>
    </row>
    <row r="11" spans="1:11" ht="23.4">
      <c r="A11" s="4" t="s">
        <v>14</v>
      </c>
      <c r="B11" s="69"/>
      <c r="C11" s="37">
        <v>338828</v>
      </c>
      <c r="D11" s="38">
        <v>338828</v>
      </c>
      <c r="E11" s="42">
        <v>0</v>
      </c>
      <c r="F11" s="38">
        <f>Tableau8[[#This Row],[Versement]]-Tableau8[[#This Row],[T.Logiciel]]+Tableau8[[#This Row],[Charge]]</f>
        <v>0</v>
      </c>
      <c r="G11" s="43"/>
      <c r="H11" s="38"/>
      <c r="I11" s="38">
        <f>Tableau8[[#This Row],[Versement]]-Tableau8[[#This Row],[Charge]]-Tableau8[[#This Row],[T.Remise]]</f>
        <v>338828</v>
      </c>
      <c r="J11" s="10"/>
      <c r="K11" s="207"/>
    </row>
    <row r="12" spans="1:11" ht="24" thickBot="1">
      <c r="A12" s="23" t="s">
        <v>11</v>
      </c>
      <c r="B12" s="73"/>
      <c r="C12" s="47">
        <v>67030</v>
      </c>
      <c r="D12" s="48">
        <v>66940</v>
      </c>
      <c r="E12" s="49">
        <v>1000</v>
      </c>
      <c r="F12" s="48">
        <f>Tableau8[[#This Row],[Versement]]-Tableau8[[#This Row],[T.Logiciel]]+Tableau8[[#This Row],[Charge]]</f>
        <v>910</v>
      </c>
      <c r="G12" s="50"/>
      <c r="H12" s="48"/>
      <c r="I12" s="48">
        <f>Tableau8[[#This Row],[Versement]]-Tableau8[[#This Row],[Charge]]-Tableau8[[#This Row],[T.Remise]]</f>
        <v>65940</v>
      </c>
      <c r="J12" s="22"/>
      <c r="K12" s="207"/>
    </row>
    <row r="13" spans="1:11" ht="23.4">
      <c r="A13" s="4" t="s">
        <v>11</v>
      </c>
      <c r="B13" s="69">
        <v>45874</v>
      </c>
      <c r="C13" s="37">
        <v>89311</v>
      </c>
      <c r="D13" s="38">
        <f>88000</f>
        <v>88000</v>
      </c>
      <c r="E13" s="42">
        <v>1000</v>
      </c>
      <c r="F13" s="38">
        <f>Tableau8[[#This Row],[Versement]]-Tableau8[[#This Row],[T.Logiciel]]+Tableau8[[#This Row],[Charge]]</f>
        <v>-311</v>
      </c>
      <c r="G13" s="43"/>
      <c r="H13" s="38"/>
      <c r="I13" s="38">
        <f>Tableau8[[#This Row],[Versement]]-Tableau8[[#This Row],[Charge]]-Tableau8[[#This Row],[T.Remise]]</f>
        <v>87000</v>
      </c>
      <c r="J13" s="10"/>
      <c r="K13" s="207"/>
    </row>
    <row r="14" spans="1:11" ht="24" thickBot="1">
      <c r="A14" s="21" t="s">
        <v>13</v>
      </c>
      <c r="B14" s="70"/>
      <c r="C14" s="39">
        <v>277488</v>
      </c>
      <c r="D14" s="40">
        <f>278595+305</f>
        <v>278900</v>
      </c>
      <c r="E14" s="44">
        <v>0</v>
      </c>
      <c r="F14" s="40">
        <f>Tableau8[[#This Row],[Versement]]-Tableau8[[#This Row],[T.Logiciel]]+Tableau8[[#This Row],[Charge]]</f>
        <v>1412</v>
      </c>
      <c r="G14" s="45"/>
      <c r="H14" s="40"/>
      <c r="I14" s="40">
        <f>Tableau8[[#This Row],[Versement]]-Tableau8[[#This Row],[Charge]]-Tableau8[[#This Row],[T.Remise]]</f>
        <v>278900</v>
      </c>
      <c r="J14" s="22"/>
      <c r="K14" s="207"/>
    </row>
    <row r="15" spans="1:11" ht="23.4">
      <c r="A15" s="4" t="s">
        <v>15</v>
      </c>
      <c r="B15" s="69">
        <v>45875</v>
      </c>
      <c r="C15" s="37">
        <v>87872</v>
      </c>
      <c r="D15" s="38">
        <v>87872</v>
      </c>
      <c r="E15" s="42">
        <v>0</v>
      </c>
      <c r="F15" s="38">
        <f>Tableau8[[#This Row],[Versement]]-Tableau8[[#This Row],[T.Logiciel]]+Tableau8[[#This Row],[Charge]]</f>
        <v>0</v>
      </c>
      <c r="G15" s="43"/>
      <c r="H15" s="38"/>
      <c r="I15" s="38">
        <f>Tableau8[[#This Row],[Versement]]-Tableau8[[#This Row],[Charge]]-Tableau8[[#This Row],[T.Remise]]</f>
        <v>87872</v>
      </c>
      <c r="J15" s="10"/>
      <c r="K15" s="207"/>
    </row>
    <row r="16" spans="1:11" ht="23.4">
      <c r="A16" s="4" t="s">
        <v>11</v>
      </c>
      <c r="B16" s="69"/>
      <c r="C16" s="37">
        <f>299852-155985</f>
        <v>143867</v>
      </c>
      <c r="D16" s="38">
        <f>141440</f>
        <v>141440</v>
      </c>
      <c r="E16" s="42">
        <v>1850</v>
      </c>
      <c r="F16" s="38">
        <f>Tableau8[[#This Row],[Versement]]-Tableau8[[#This Row],[T.Logiciel]]+Tableau8[[#This Row],[Charge]]</f>
        <v>-577</v>
      </c>
      <c r="G16" s="43"/>
      <c r="H16" s="38"/>
      <c r="I16" s="38">
        <f>Tableau8[[#This Row],[Versement]]-Tableau8[[#This Row],[Charge]]-Tableau8[[#This Row],[T.Remise]]</f>
        <v>139590</v>
      </c>
      <c r="J16" s="10"/>
      <c r="K16" s="207"/>
    </row>
    <row r="17" spans="1:10" ht="24" thickBot="1">
      <c r="A17" s="21" t="s">
        <v>16</v>
      </c>
      <c r="B17" s="70"/>
      <c r="C17" s="51">
        <f>365054-200345</f>
        <v>164709</v>
      </c>
      <c r="D17" s="52">
        <f>164565</f>
        <v>164565</v>
      </c>
      <c r="E17" s="53">
        <v>0</v>
      </c>
      <c r="F17" s="40">
        <f>Tableau8[[#This Row],[Versement]]-Tableau8[[#This Row],[T.Logiciel]]+Tableau8[[#This Row],[Charge]]</f>
        <v>-144</v>
      </c>
      <c r="G17" s="45"/>
      <c r="H17" s="45"/>
      <c r="I17" s="54">
        <f>Tableau8[[#This Row],[Versement]]-Tableau8[[#This Row],[Charge]]-Tableau8[[#This Row],[T.Remise]]</f>
        <v>164565</v>
      </c>
      <c r="J17" s="20"/>
    </row>
    <row r="18" spans="1:10" ht="23.4">
      <c r="A18" s="4" t="s">
        <v>13</v>
      </c>
      <c r="B18" s="74">
        <v>45876</v>
      </c>
      <c r="C18" s="37">
        <v>110147</v>
      </c>
      <c r="D18" s="38">
        <v>110125</v>
      </c>
      <c r="E18" s="42">
        <v>0</v>
      </c>
      <c r="F18" s="41">
        <f>Tableau8[[#This Row],[Versement]]-Tableau8[[#This Row],[T.Logiciel]]+Tableau8[[#This Row],[Charge]]</f>
        <v>-22</v>
      </c>
      <c r="G18" s="38"/>
      <c r="H18" s="38"/>
      <c r="I18" s="55">
        <f>Tableau8[[#This Row],[Versement]]-Tableau8[[#This Row],[Charge]]-Tableau8[[#This Row],[T.Remise]]</f>
        <v>110125</v>
      </c>
      <c r="J18" s="11"/>
    </row>
    <row r="19" spans="1:10" ht="23.4">
      <c r="A19" s="4" t="s">
        <v>11</v>
      </c>
      <c r="B19" s="69"/>
      <c r="C19" s="37">
        <v>263558</v>
      </c>
      <c r="D19" s="38">
        <v>253520</v>
      </c>
      <c r="E19" s="42">
        <v>9200</v>
      </c>
      <c r="F19" s="56">
        <f>Tableau8[[#This Row],[Versement]]-Tableau8[[#This Row],[T.Logiciel]]+Tableau8[[#This Row],[Charge]]</f>
        <v>-838</v>
      </c>
      <c r="G19" s="38"/>
      <c r="H19" s="38"/>
      <c r="I19" s="38">
        <f>Tableau8[[#This Row],[Versement]]-Tableau8[[#This Row],[Charge]]-Tableau8[[#This Row],[T.Remise]]</f>
        <v>244320</v>
      </c>
      <c r="J19" s="10"/>
    </row>
    <row r="20" spans="1:10" ht="24" thickBot="1">
      <c r="A20" s="21" t="s">
        <v>17</v>
      </c>
      <c r="B20" s="70"/>
      <c r="C20" s="39">
        <v>105591</v>
      </c>
      <c r="D20" s="40">
        <v>105591</v>
      </c>
      <c r="E20" s="44"/>
      <c r="F20" s="40">
        <f>Tableau8[[#This Row],[Versement]]-Tableau8[[#This Row],[T.Logiciel]]+Tableau8[[#This Row],[Charge]]</f>
        <v>0</v>
      </c>
      <c r="G20" s="40"/>
      <c r="H20" s="40"/>
      <c r="I20" s="40">
        <f>Tableau8[[#This Row],[Versement]]-Tableau8[[#This Row],[Charge]]-Tableau8[[#This Row],[T.Remise]]</f>
        <v>105591</v>
      </c>
      <c r="J20" s="22"/>
    </row>
    <row r="21" spans="1:10" ht="18">
      <c r="A21" s="6" t="s">
        <v>17</v>
      </c>
      <c r="B21" s="24">
        <v>45878</v>
      </c>
      <c r="C21" s="57">
        <v>288833</v>
      </c>
      <c r="D21" s="58">
        <v>278250</v>
      </c>
      <c r="E21" s="59">
        <v>5000</v>
      </c>
      <c r="F21" s="60">
        <f>Tableau8[[#This Row],[Versement]]-Tableau8[[#This Row],[T.Logiciel]]+Tableau8[[#This Row],[Charge]]</f>
        <v>-5583</v>
      </c>
      <c r="G21" s="58"/>
      <c r="H21" s="58"/>
      <c r="I21" s="58">
        <f>Tableau8[[#This Row],[Versement]]-Tableau8[[#This Row],[Charge]]-Tableau8[[#This Row],[T.Remise]]</f>
        <v>273250</v>
      </c>
      <c r="J21" s="7" t="s">
        <v>18</v>
      </c>
    </row>
    <row r="22" spans="1:10" ht="23.4">
      <c r="A22" s="6" t="s">
        <v>13</v>
      </c>
      <c r="B22" s="24"/>
      <c r="C22" s="57">
        <v>191956</v>
      </c>
      <c r="D22" s="58">
        <v>191925</v>
      </c>
      <c r="E22" s="59"/>
      <c r="F22" s="60">
        <f>Tableau8[[#This Row],[Versement]]-Tableau8[[#This Row],[T.Logiciel]]+Tableau8[[#This Row],[Charge]]</f>
        <v>-31</v>
      </c>
      <c r="G22" s="58"/>
      <c r="H22" s="58"/>
      <c r="I22" s="58">
        <f>Tableau8[[#This Row],[Versement]]-Tableau8[[#This Row],[Charge]]-Tableau8[[#This Row],[T.Remise]]</f>
        <v>191925</v>
      </c>
      <c r="J22" s="12"/>
    </row>
    <row r="23" spans="1:10" ht="24" thickBot="1">
      <c r="A23" s="19" t="s">
        <v>11</v>
      </c>
      <c r="B23" s="75"/>
      <c r="C23" s="61">
        <v>110391</v>
      </c>
      <c r="D23" s="62">
        <v>109000</v>
      </c>
      <c r="E23" s="53">
        <v>1000</v>
      </c>
      <c r="F23" s="52">
        <f>Tableau8[[#This Row],[Versement]]-Tableau8[[#This Row],[T.Logiciel]]+Tableau8[[#This Row],[Charge]]</f>
        <v>-391</v>
      </c>
      <c r="G23" s="62"/>
      <c r="H23" s="62"/>
      <c r="I23" s="62">
        <f>Tableau8[[#This Row],[Versement]]-Tableau8[[#This Row],[Charge]]-Tableau8[[#This Row],[T.Remise]]</f>
        <v>108000</v>
      </c>
      <c r="J23" s="20"/>
    </row>
    <row r="24" spans="1:10" ht="18">
      <c r="A24" s="6" t="s">
        <v>13</v>
      </c>
      <c r="B24" s="24">
        <v>45879</v>
      </c>
      <c r="C24" s="57">
        <v>249369</v>
      </c>
      <c r="D24" s="58">
        <v>249600</v>
      </c>
      <c r="E24" s="59"/>
      <c r="F24" s="60">
        <f>Tableau8[[#This Row],[Versement]]-Tableau8[[#This Row],[T.Logiciel]]+Tableau8[[#This Row],[Charge]]</f>
        <v>231</v>
      </c>
      <c r="G24" s="58"/>
      <c r="H24" s="58"/>
      <c r="I24" s="58">
        <f>Tableau8[[#This Row],[Versement]]-Tableau8[[#This Row],[Charge]]-Tableau8[[#This Row],[T.Remise]]</f>
        <v>249600</v>
      </c>
      <c r="J24" s="7"/>
    </row>
    <row r="25" spans="1:10" ht="18.600000000000001" thickBot="1">
      <c r="A25" s="19" t="s">
        <v>11</v>
      </c>
      <c r="B25" s="75"/>
      <c r="C25" s="61">
        <v>199020</v>
      </c>
      <c r="D25" s="62">
        <v>193770</v>
      </c>
      <c r="E25" s="53">
        <v>5000</v>
      </c>
      <c r="F25" s="52">
        <f>Tableau8[[#This Row],[Versement]]-Tableau8[[#This Row],[T.Logiciel]]+Tableau8[[#This Row],[Charge]]</f>
        <v>-250</v>
      </c>
      <c r="G25" s="62"/>
      <c r="H25" s="62"/>
      <c r="I25" s="62">
        <f>Tableau8[[#This Row],[Versement]]-Tableau8[[#This Row],[Charge]]-Tableau8[[#This Row],[T.Remise]]</f>
        <v>188770</v>
      </c>
      <c r="J25" s="17" t="s">
        <v>18</v>
      </c>
    </row>
    <row r="26" spans="1:10" ht="18">
      <c r="A26" s="6" t="s">
        <v>17</v>
      </c>
      <c r="B26" s="24">
        <v>45880</v>
      </c>
      <c r="C26" s="57">
        <v>90380</v>
      </c>
      <c r="D26" s="58">
        <f>57245+2500+1000+75+15590+22963-9500</f>
        <v>89873</v>
      </c>
      <c r="E26" s="59">
        <v>0</v>
      </c>
      <c r="F26" s="60">
        <f>Tableau8[[#This Row],[Versement]]-Tableau8[[#This Row],[T.Logiciel]]+Tableau8[[#This Row],[Charge]]</f>
        <v>-507</v>
      </c>
      <c r="G26" s="58"/>
      <c r="H26" s="58"/>
      <c r="I26" s="58">
        <f>Tableau8[[#This Row],[Versement]]-Tableau8[[#This Row],[Charge]]-Tableau8[[#This Row],[T.Remise]]</f>
        <v>89873</v>
      </c>
      <c r="J26" s="13"/>
    </row>
    <row r="27" spans="1:10" ht="23.4">
      <c r="A27" s="6" t="s">
        <v>13</v>
      </c>
      <c r="B27" s="24"/>
      <c r="C27" s="57">
        <v>250285</v>
      </c>
      <c r="D27" s="58">
        <v>250119</v>
      </c>
      <c r="E27" s="60">
        <v>0</v>
      </c>
      <c r="F27" s="60">
        <f>Tableau8[[#This Row],[Versement]]-Tableau8[[#This Row],[T.Logiciel]]+Tableau8[[#This Row],[Charge]]</f>
        <v>-166</v>
      </c>
      <c r="G27" s="58"/>
      <c r="H27" s="58"/>
      <c r="I27" s="58">
        <f>Tableau8[[#This Row],[Versement]]-Tableau8[[#This Row],[Charge]]-Tableau8[[#This Row],[T.Remise]]</f>
        <v>250119</v>
      </c>
      <c r="J27" s="14"/>
    </row>
    <row r="28" spans="1:10" ht="24" thickBot="1">
      <c r="A28" s="25" t="s">
        <v>11</v>
      </c>
      <c r="B28" s="75"/>
      <c r="C28" s="61">
        <v>92883</v>
      </c>
      <c r="D28" s="62">
        <v>92765</v>
      </c>
      <c r="E28" s="52">
        <v>0</v>
      </c>
      <c r="F28" s="52">
        <f>Tableau8[[#This Row],[Versement]]-Tableau8[[#This Row],[T.Logiciel]]+Tableau8[[#This Row],[Charge]]</f>
        <v>-118</v>
      </c>
      <c r="G28" s="62"/>
      <c r="H28" s="62"/>
      <c r="I28" s="62">
        <f>Tableau8[[#This Row],[Versement]]-Tableau8[[#This Row],[Charge]]-Tableau8[[#This Row],[T.Remise]]</f>
        <v>92765</v>
      </c>
      <c r="J28" s="26"/>
    </row>
    <row r="29" spans="1:10" ht="18">
      <c r="A29" s="6" t="s">
        <v>13</v>
      </c>
      <c r="B29" s="24">
        <v>45881</v>
      </c>
      <c r="C29" s="57">
        <v>184061</v>
      </c>
      <c r="D29" s="58">
        <v>184061</v>
      </c>
      <c r="E29" s="60"/>
      <c r="F29" s="60">
        <f>Tableau8[[#This Row],[Versement]]-Tableau8[[#This Row],[T.Logiciel]]+Tableau8[[#This Row],[Charge]]</f>
        <v>0</v>
      </c>
      <c r="G29" s="58"/>
      <c r="H29" s="58"/>
      <c r="I29" s="58">
        <f>Tableau8[[#This Row],[Versement]]-Tableau8[[#This Row],[Charge]]-Tableau8[[#This Row],[T.Remise]]</f>
        <v>184061</v>
      </c>
      <c r="J29" s="13"/>
    </row>
    <row r="30" spans="1:10" ht="23.4">
      <c r="A30" s="8" t="s">
        <v>11</v>
      </c>
      <c r="B30" s="24"/>
      <c r="C30" s="57">
        <f>7028+157034</f>
        <v>164062</v>
      </c>
      <c r="D30" s="58">
        <f>7028+156245</f>
        <v>163273</v>
      </c>
      <c r="E30" s="60">
        <v>500</v>
      </c>
      <c r="F30" s="60">
        <f>Tableau8[[#This Row],[Versement]]-Tableau8[[#This Row],[T.Logiciel]]+Tableau8[[#This Row],[Charge]]</f>
        <v>-289</v>
      </c>
      <c r="G30" s="58"/>
      <c r="H30" s="58"/>
      <c r="I30" s="58">
        <f>Tableau8[[#This Row],[Versement]]-Tableau8[[#This Row],[Charge]]-Tableau8[[#This Row],[T.Remise]]</f>
        <v>162773</v>
      </c>
      <c r="J30" s="14"/>
    </row>
    <row r="31" spans="1:10" ht="18.600000000000001" thickBot="1">
      <c r="A31" s="16" t="s">
        <v>19</v>
      </c>
      <c r="B31" s="75"/>
      <c r="C31" s="61">
        <f>191721-17860</f>
        <v>173861</v>
      </c>
      <c r="D31" s="62">
        <f>188835-20000</f>
        <v>168835</v>
      </c>
      <c r="E31" s="52">
        <v>5000</v>
      </c>
      <c r="F31" s="52">
        <f>Tableau8[[#This Row],[Versement]]-Tableau8[[#This Row],[T.Logiciel]]+Tableau8[[#This Row],[Charge]]</f>
        <v>-26</v>
      </c>
      <c r="G31" s="62"/>
      <c r="H31" s="62"/>
      <c r="I31" s="62">
        <f>Tableau8[[#This Row],[Versement]]-Tableau8[[#This Row],[Charge]]-Tableau8[[#This Row],[T.Remise]]</f>
        <v>163835</v>
      </c>
      <c r="J31" s="18" t="s">
        <v>20</v>
      </c>
    </row>
    <row r="32" spans="1:10" ht="18">
      <c r="A32" s="8" t="s">
        <v>21</v>
      </c>
      <c r="B32" s="24">
        <v>45882</v>
      </c>
      <c r="C32" s="57">
        <v>195894</v>
      </c>
      <c r="D32" s="58">
        <v>195900</v>
      </c>
      <c r="E32" s="60"/>
      <c r="F32" s="60">
        <f>Tableau8[[#This Row],[Versement]]-Tableau8[[#This Row],[T.Logiciel]]+Tableau8[[#This Row],[Charge]]</f>
        <v>6</v>
      </c>
      <c r="G32" s="58"/>
      <c r="H32" s="58"/>
      <c r="I32" s="58">
        <f>Tableau8[[#This Row],[Versement]]-Tableau8[[#This Row],[Charge]]-Tableau8[[#This Row],[T.Remise]]</f>
        <v>195900</v>
      </c>
      <c r="J32" s="13"/>
    </row>
    <row r="33" spans="1:10" ht="18">
      <c r="A33" s="8" t="s">
        <v>13</v>
      </c>
      <c r="B33" s="24"/>
      <c r="C33" s="57">
        <v>92283</v>
      </c>
      <c r="D33" s="58">
        <v>92285</v>
      </c>
      <c r="E33" s="60"/>
      <c r="F33" s="60">
        <f>Tableau8[[#This Row],[Versement]]-Tableau8[[#This Row],[T.Logiciel]]+Tableau8[[#This Row],[Charge]]</f>
        <v>2</v>
      </c>
      <c r="G33" s="58"/>
      <c r="H33" s="58"/>
      <c r="I33" s="58">
        <f>Tableau8[[#This Row],[Versement]]-Tableau8[[#This Row],[Charge]]-Tableau8[[#This Row],[T.Remise]]</f>
        <v>92285</v>
      </c>
      <c r="J33" s="13"/>
    </row>
    <row r="34" spans="1:10" ht="18">
      <c r="A34" s="8" t="s">
        <v>16</v>
      </c>
      <c r="B34" s="24"/>
      <c r="C34" s="57">
        <v>402106</v>
      </c>
      <c r="D34" s="58">
        <f>195894+208690-13530</f>
        <v>391054</v>
      </c>
      <c r="E34" s="60"/>
      <c r="F34" s="60">
        <f>Tableau8[[#This Row],[Versement]]-Tableau8[[#This Row],[T.Logiciel]]+Tableau8[[#This Row],[Charge]]</f>
        <v>-11052</v>
      </c>
      <c r="G34" s="58"/>
      <c r="H34" s="58"/>
      <c r="I34" s="58">
        <f>Tableau8[[#This Row],[Versement]]-Tableau8[[#This Row],[Charge]]-Tableau8[[#This Row],[T.Remise]]</f>
        <v>391054</v>
      </c>
      <c r="J34" s="13"/>
    </row>
    <row r="35" spans="1:10" ht="18.600000000000001" thickBot="1">
      <c r="A35" s="34" t="s">
        <v>11</v>
      </c>
      <c r="B35" s="76"/>
      <c r="C35" s="63">
        <v>86335</v>
      </c>
      <c r="D35" s="64">
        <v>81060</v>
      </c>
      <c r="E35" s="65">
        <v>5000</v>
      </c>
      <c r="F35" s="65">
        <f>Tableau8[[#This Row],[Versement]]-Tableau8[[#This Row],[T.Logiciel]]+Tableau8[[#This Row],[Charge]]</f>
        <v>-275</v>
      </c>
      <c r="G35" s="64"/>
      <c r="H35" s="64"/>
      <c r="I35" s="64">
        <f>Tableau8[[#This Row],[Versement]]-Tableau8[[#This Row],[Charge]]-Tableau8[[#This Row],[T.Remise]]</f>
        <v>76060</v>
      </c>
      <c r="J35" s="35" t="s">
        <v>20</v>
      </c>
    </row>
    <row r="36" spans="1:10" ht="18.600000000000001" thickTop="1">
      <c r="A36" s="9" t="s">
        <v>13</v>
      </c>
      <c r="B36" s="77">
        <v>45883</v>
      </c>
      <c r="C36" s="66">
        <v>166589</v>
      </c>
      <c r="D36" s="67">
        <v>166575</v>
      </c>
      <c r="E36" s="68"/>
      <c r="F36" s="68">
        <f>Tableau8[[#This Row],[Versement]]-Tableau8[[#This Row],[T.Logiciel]]+Tableau8[[#This Row],[Charge]]</f>
        <v>-14</v>
      </c>
      <c r="G36" s="67"/>
      <c r="H36" s="67"/>
      <c r="I36" s="67">
        <f>Tableau8[[#This Row],[Versement]]-Tableau8[[#This Row],[Charge]]-Tableau8[[#This Row],[T.Remise]]</f>
        <v>166575</v>
      </c>
      <c r="J36" s="15"/>
    </row>
    <row r="37" spans="1:10" ht="18">
      <c r="A37" s="9" t="s">
        <v>17</v>
      </c>
      <c r="B37" s="77"/>
      <c r="C37" s="66">
        <f>219475+63300</f>
        <v>282775</v>
      </c>
      <c r="D37" s="67">
        <f>219475+62800</f>
        <v>282275</v>
      </c>
      <c r="E37" s="68">
        <v>500</v>
      </c>
      <c r="F37" s="68">
        <f>Tableau8[[#This Row],[Versement]]-Tableau8[[#This Row],[T.Logiciel]]+Tableau8[[#This Row],[Charge]]</f>
        <v>0</v>
      </c>
      <c r="G37" s="67"/>
      <c r="H37" s="67"/>
      <c r="I37" s="67">
        <f>Tableau8[[#This Row],[Versement]]-Tableau8[[#This Row],[Charge]]-Tableau8[[#This Row],[T.Remise]]</f>
        <v>281775</v>
      </c>
      <c r="J37" s="15"/>
    </row>
    <row r="38" spans="1:10" ht="18.600000000000001" thickBot="1">
      <c r="A38" s="34" t="s">
        <v>11</v>
      </c>
      <c r="B38" s="76"/>
      <c r="C38" s="63">
        <v>246147</v>
      </c>
      <c r="D38" s="64">
        <v>240755</v>
      </c>
      <c r="E38" s="65">
        <v>5000</v>
      </c>
      <c r="F38" s="65">
        <f>Tableau8[[#This Row],[Versement]]-Tableau8[[#This Row],[T.Logiciel]]+Tableau8[[#This Row],[Charge]]</f>
        <v>-392</v>
      </c>
      <c r="G38" s="64"/>
      <c r="H38" s="64"/>
      <c r="I38" s="64">
        <f>Tableau8[[#This Row],[Versement]]-Tableau8[[#This Row],[Charge]]-Tableau8[[#This Row],[T.Remise]]</f>
        <v>235755</v>
      </c>
      <c r="J38" s="35" t="s">
        <v>20</v>
      </c>
    </row>
    <row r="39" spans="1:10" ht="18.600000000000001" thickTop="1">
      <c r="A39" s="9" t="s">
        <v>11</v>
      </c>
      <c r="B39" s="77">
        <v>45885</v>
      </c>
      <c r="C39" s="66">
        <v>154715</v>
      </c>
      <c r="D39" s="67">
        <v>149455</v>
      </c>
      <c r="E39" s="68">
        <v>5000</v>
      </c>
      <c r="F39" s="68">
        <f>Tableau8[[#This Row],[Versement]]-Tableau8[[#This Row],[T.Logiciel]]+Tableau8[[#This Row],[Charge]]</f>
        <v>-260</v>
      </c>
      <c r="G39" s="67"/>
      <c r="H39" s="67"/>
      <c r="I39" s="67">
        <f>Tableau8[[#This Row],[Versement]]-Tableau8[[#This Row],[Charge]]-Tableau8[[#This Row],[T.Remise]]</f>
        <v>144455</v>
      </c>
      <c r="J39" s="36" t="s">
        <v>20</v>
      </c>
    </row>
    <row r="40" spans="1:10" ht="18">
      <c r="A40" s="9" t="s">
        <v>22</v>
      </c>
      <c r="B40" s="77"/>
      <c r="C40" s="66">
        <v>169832</v>
      </c>
      <c r="D40" s="67">
        <v>169700</v>
      </c>
      <c r="E40" s="68"/>
      <c r="F40" s="68">
        <f>Tableau8[[#This Row],[Versement]]-Tableau8[[#This Row],[T.Logiciel]]+Tableau8[[#This Row],[Charge]]</f>
        <v>-132</v>
      </c>
      <c r="G40" s="67"/>
      <c r="H40" s="67"/>
      <c r="I40" s="67">
        <f>Tableau8[[#This Row],[Versement]]-Tableau8[[#This Row],[Charge]]-Tableau8[[#This Row],[T.Remise]]</f>
        <v>169700</v>
      </c>
      <c r="J40" s="15"/>
    </row>
    <row r="41" spans="1:10" ht="18.600000000000001" thickBot="1">
      <c r="A41" s="34" t="s">
        <v>13</v>
      </c>
      <c r="B41" s="76"/>
      <c r="C41" s="63">
        <v>116374</v>
      </c>
      <c r="D41" s="64">
        <v>115510</v>
      </c>
      <c r="E41" s="65"/>
      <c r="F41" s="65">
        <f>Tableau8[[#This Row],[Versement]]-Tableau8[[#This Row],[T.Logiciel]]+Tableau8[[#This Row],[Charge]]</f>
        <v>-864</v>
      </c>
      <c r="G41" s="64"/>
      <c r="H41" s="64"/>
      <c r="I41" s="64">
        <f>Tableau8[[#This Row],[Versement]]-Tableau8[[#This Row],[Charge]]-Tableau8[[#This Row],[T.Remise]]</f>
        <v>115510</v>
      </c>
      <c r="J41" s="35"/>
    </row>
    <row r="42" spans="1:10" ht="18.600000000000001" thickTop="1">
      <c r="A42" s="9" t="s">
        <v>11</v>
      </c>
      <c r="B42" s="77">
        <v>45886</v>
      </c>
      <c r="C42" s="66">
        <v>344925</v>
      </c>
      <c r="D42" s="67">
        <v>337290</v>
      </c>
      <c r="E42" s="68">
        <v>5000</v>
      </c>
      <c r="F42" s="68">
        <f>Tableau8[[#This Row],[Versement]]-Tableau8[[#This Row],[T.Logiciel]]+Tableau8[[#This Row],[Charge]]</f>
        <v>-2635</v>
      </c>
      <c r="G42" s="67"/>
      <c r="H42" s="67"/>
      <c r="I42" s="67">
        <f>Tableau8[[#This Row],[Versement]]-Tableau8[[#This Row],[Charge]]-Tableau8[[#This Row],[T.Remise]]</f>
        <v>332290</v>
      </c>
      <c r="J42" s="15" t="s">
        <v>20</v>
      </c>
    </row>
    <row r="43" spans="1:10" ht="18.600000000000001" thickBot="1">
      <c r="A43" s="34" t="s">
        <v>13</v>
      </c>
      <c r="B43" s="76"/>
      <c r="C43" s="63">
        <v>203217</v>
      </c>
      <c r="D43" s="64">
        <v>202715</v>
      </c>
      <c r="E43" s="65">
        <v>500</v>
      </c>
      <c r="F43" s="65">
        <f>Tableau8[[#This Row],[Versement]]-Tableau8[[#This Row],[T.Logiciel]]+Tableau8[[#This Row],[Charge]]</f>
        <v>-2</v>
      </c>
      <c r="G43" s="64"/>
      <c r="H43" s="64"/>
      <c r="I43" s="64">
        <f>Tableau8[[#This Row],[Versement]]-Tableau8[[#This Row],[Charge]]-Tableau8[[#This Row],[T.Remise]]</f>
        <v>202215</v>
      </c>
      <c r="J43" s="35" t="s">
        <v>23</v>
      </c>
    </row>
    <row r="44" spans="1:10" ht="18.600000000000001" thickTop="1">
      <c r="A44" s="9" t="s">
        <v>11</v>
      </c>
      <c r="B44" s="77">
        <v>45887</v>
      </c>
      <c r="C44" s="66">
        <v>74202</v>
      </c>
      <c r="D44" s="67">
        <v>69100</v>
      </c>
      <c r="E44" s="68">
        <v>5000</v>
      </c>
      <c r="F44" s="68">
        <f>Tableau8[[#This Row],[Versement]]-Tableau8[[#This Row],[T.Logiciel]]+Tableau8[[#This Row],[Charge]]</f>
        <v>-102</v>
      </c>
      <c r="G44" s="67"/>
      <c r="H44" s="67"/>
      <c r="I44" s="67">
        <f>Tableau8[[#This Row],[Versement]]-Tableau8[[#This Row],[Charge]]-Tableau8[[#This Row],[T.Remise]]</f>
        <v>64100</v>
      </c>
      <c r="J44" s="15" t="s">
        <v>20</v>
      </c>
    </row>
    <row r="45" spans="1:10" ht="18">
      <c r="A45" s="9" t="s">
        <v>13</v>
      </c>
      <c r="B45" s="77"/>
      <c r="C45" s="66">
        <v>216240</v>
      </c>
      <c r="D45" s="67">
        <v>216150</v>
      </c>
      <c r="E45" s="68"/>
      <c r="F45" s="68">
        <f>Tableau8[[#This Row],[Versement]]-Tableau8[[#This Row],[T.Logiciel]]+Tableau8[[#This Row],[Charge]]</f>
        <v>-90</v>
      </c>
      <c r="G45" s="67"/>
      <c r="H45" s="67"/>
      <c r="I45" s="67">
        <f>Tableau8[[#This Row],[Versement]]-Tableau8[[#This Row],[Charge]]-Tableau8[[#This Row],[T.Remise]]</f>
        <v>216150</v>
      </c>
      <c r="J45" s="15" t="s">
        <v>24</v>
      </c>
    </row>
    <row r="46" spans="1:10" ht="18.600000000000001" thickBot="1">
      <c r="A46" s="34" t="s">
        <v>25</v>
      </c>
      <c r="B46" s="76"/>
      <c r="C46" s="63">
        <f>145756-15210-29622-18375</f>
        <v>82549</v>
      </c>
      <c r="D46" s="64">
        <v>82330</v>
      </c>
      <c r="E46" s="65"/>
      <c r="F46" s="65">
        <f>Tableau8[[#This Row],[Versement]]-Tableau8[[#This Row],[T.Logiciel]]+Tableau8[[#This Row],[Charge]]</f>
        <v>-219</v>
      </c>
      <c r="G46" s="64"/>
      <c r="H46" s="64"/>
      <c r="I46" s="64">
        <f>Tableau8[[#This Row],[Versement]]-Tableau8[[#This Row],[Charge]]-Tableau8[[#This Row],[T.Remise]]</f>
        <v>82330</v>
      </c>
      <c r="J46" s="35"/>
    </row>
    <row r="47" spans="1:10" ht="18.600000000000001" thickTop="1">
      <c r="A47" s="9" t="s">
        <v>13</v>
      </c>
      <c r="B47" s="77">
        <v>45888</v>
      </c>
      <c r="C47" s="66">
        <v>120060</v>
      </c>
      <c r="D47" s="67">
        <v>119570</v>
      </c>
      <c r="E47" s="68">
        <v>500</v>
      </c>
      <c r="F47" s="68">
        <f>Tableau8[[#This Row],[Versement]]-Tableau8[[#This Row],[T.Logiciel]]+Tableau8[[#This Row],[Charge]]</f>
        <v>10</v>
      </c>
      <c r="G47" s="67"/>
      <c r="H47" s="67"/>
      <c r="I47" s="67">
        <f>Tableau8[[#This Row],[Versement]]-Tableau8[[#This Row],[Charge]]-Tableau8[[#This Row],[T.Remise]]</f>
        <v>119070</v>
      </c>
      <c r="J47" s="15"/>
    </row>
    <row r="48" spans="1:10" ht="18">
      <c r="A48" s="9" t="s">
        <v>25</v>
      </c>
      <c r="B48" s="77"/>
      <c r="C48" s="66">
        <v>216744</v>
      </c>
      <c r="D48" s="67">
        <v>216410</v>
      </c>
      <c r="E48" s="68"/>
      <c r="F48" s="68">
        <f>Tableau8[[#This Row],[Versement]]-Tableau8[[#This Row],[T.Logiciel]]+Tableau8[[#This Row],[Charge]]</f>
        <v>-334</v>
      </c>
      <c r="G48" s="67"/>
      <c r="H48" s="67"/>
      <c r="I48" s="67">
        <f>Tableau8[[#This Row],[Versement]]-Tableau8[[#This Row],[Charge]]-Tableau8[[#This Row],[T.Remise]]</f>
        <v>216410</v>
      </c>
      <c r="J48" s="15"/>
    </row>
    <row r="49" spans="1:10" ht="18.600000000000001" thickBot="1">
      <c r="A49" s="34" t="s">
        <v>11</v>
      </c>
      <c r="B49" s="76"/>
      <c r="C49" s="63">
        <v>121338</v>
      </c>
      <c r="D49" s="64">
        <v>116205</v>
      </c>
      <c r="E49" s="65">
        <f>5000+900</f>
        <v>5900</v>
      </c>
      <c r="F49" s="65">
        <f>Tableau8[[#This Row],[Versement]]-Tableau8[[#This Row],[T.Logiciel]]+Tableau8[[#This Row],[Charge]]</f>
        <v>767</v>
      </c>
      <c r="G49" s="64"/>
      <c r="H49" s="64"/>
      <c r="I49" s="64">
        <f>Tableau8[[#This Row],[Versement]]-Tableau8[[#This Row],[Charge]]-Tableau8[[#This Row],[T.Remise]]</f>
        <v>110305</v>
      </c>
      <c r="J49" s="35" t="s">
        <v>26</v>
      </c>
    </row>
    <row r="50" spans="1:10" ht="18.600000000000001" thickTop="1">
      <c r="A50" s="9" t="s">
        <v>13</v>
      </c>
      <c r="B50" s="77">
        <v>45889</v>
      </c>
      <c r="C50" s="66">
        <v>101489</v>
      </c>
      <c r="D50" s="67">
        <v>96625</v>
      </c>
      <c r="E50" s="68">
        <v>4840</v>
      </c>
      <c r="F50" s="68">
        <f>Tableau8[[#This Row],[Versement]]-Tableau8[[#This Row],[T.Logiciel]]+Tableau8[[#This Row],[Charge]]</f>
        <v>-24</v>
      </c>
      <c r="G50" s="67"/>
      <c r="H50" s="67"/>
      <c r="I50" s="67">
        <f>Tableau8[[#This Row],[Versement]]-Tableau8[[#This Row],[Charge]]-Tableau8[[#This Row],[T.Remise]]</f>
        <v>91785</v>
      </c>
      <c r="J50" s="15" t="s">
        <v>27</v>
      </c>
    </row>
    <row r="51" spans="1:10" ht="18">
      <c r="A51" s="9" t="s">
        <v>11</v>
      </c>
      <c r="B51" s="77"/>
      <c r="C51" s="66">
        <v>101199</v>
      </c>
      <c r="D51" s="67">
        <v>95940</v>
      </c>
      <c r="E51" s="68">
        <v>5000</v>
      </c>
      <c r="F51" s="68">
        <f>Tableau8[[#This Row],[Versement]]-Tableau8[[#This Row],[T.Logiciel]]+Tableau8[[#This Row],[Charge]]</f>
        <v>-259</v>
      </c>
      <c r="G51" s="67"/>
      <c r="H51" s="67"/>
      <c r="I51" s="67">
        <f>Tableau8[[#This Row],[Versement]]-Tableau8[[#This Row],[Charge]]-Tableau8[[#This Row],[T.Remise]]</f>
        <v>90940</v>
      </c>
      <c r="J51" s="15" t="s">
        <v>20</v>
      </c>
    </row>
    <row r="52" spans="1:10" ht="18.600000000000001" thickBot="1">
      <c r="A52" s="34" t="s">
        <v>25</v>
      </c>
      <c r="B52" s="76"/>
      <c r="C52" s="63">
        <f>148671</f>
        <v>148671</v>
      </c>
      <c r="D52" s="64">
        <v>132350</v>
      </c>
      <c r="E52" s="65">
        <v>500</v>
      </c>
      <c r="F52" s="65">
        <f>Tableau8[[#This Row],[Versement]]-Tableau8[[#This Row],[T.Logiciel]]+Tableau8[[#This Row],[Charge]]</f>
        <v>-15821</v>
      </c>
      <c r="G52" s="64"/>
      <c r="H52" s="64"/>
      <c r="I52" s="64">
        <f>Tableau8[[#This Row],[Versement]]-Tableau8[[#This Row],[Charge]]-Tableau8[[#This Row],[T.Remise]]</f>
        <v>131850</v>
      </c>
      <c r="J52" s="35"/>
    </row>
    <row r="53" spans="1:10" ht="18.600000000000001" thickTop="1">
      <c r="A53" s="9" t="s">
        <v>13</v>
      </c>
      <c r="B53" s="77">
        <v>45890</v>
      </c>
      <c r="C53" s="66">
        <v>165576</v>
      </c>
      <c r="D53" s="67">
        <v>164560</v>
      </c>
      <c r="E53" s="68">
        <v>1000</v>
      </c>
      <c r="F53" s="68">
        <f>Tableau8[[#This Row],[Versement]]-Tableau8[[#This Row],[T.Logiciel]]+Tableau8[[#This Row],[Charge]]</f>
        <v>-16</v>
      </c>
      <c r="G53" s="67"/>
      <c r="H53" s="67"/>
      <c r="I53" s="67">
        <f>Tableau8[[#This Row],[Versement]]-Tableau8[[#This Row],[Charge]]-Tableau8[[#This Row],[T.Remise]]</f>
        <v>163560</v>
      </c>
      <c r="J53" s="15" t="s">
        <v>28</v>
      </c>
    </row>
    <row r="54" spans="1:10" ht="18">
      <c r="A54" s="9" t="s">
        <v>11</v>
      </c>
      <c r="B54" s="77"/>
      <c r="C54" s="66">
        <f>296928-11420</f>
        <v>285508</v>
      </c>
      <c r="D54" s="67">
        <f>285508-5000-440</f>
        <v>280068</v>
      </c>
      <c r="E54" s="68">
        <v>5000</v>
      </c>
      <c r="F54" s="68">
        <f>Tableau8[[#This Row],[Versement]]-Tableau8[[#This Row],[T.Logiciel]]+Tableau8[[#This Row],[Charge]]</f>
        <v>-440</v>
      </c>
      <c r="G54" s="67"/>
      <c r="H54" s="67"/>
      <c r="I54" s="67">
        <f>Tableau8[[#This Row],[Versement]]-Tableau8[[#This Row],[Charge]]-Tableau8[[#This Row],[T.Remise]]</f>
        <v>275068</v>
      </c>
      <c r="J54" s="15" t="s">
        <v>29</v>
      </c>
    </row>
    <row r="55" spans="1:10" ht="18.600000000000001" thickBot="1">
      <c r="A55" s="34" t="s">
        <v>30</v>
      </c>
      <c r="B55" s="76"/>
      <c r="C55" s="63">
        <f>116064+208418</f>
        <v>324482</v>
      </c>
      <c r="D55" s="64">
        <f>116064+207910</f>
        <v>323974</v>
      </c>
      <c r="E55" s="65">
        <v>500</v>
      </c>
      <c r="F55" s="65">
        <f>Tableau8[[#This Row],[Versement]]-Tableau8[[#This Row],[T.Logiciel]]+Tableau8[[#This Row],[Charge]]</f>
        <v>-8</v>
      </c>
      <c r="G55" s="64"/>
      <c r="H55" s="64"/>
      <c r="I55" s="64">
        <f>Tableau8[[#This Row],[Versement]]-Tableau8[[#This Row],[Charge]]-Tableau8[[#This Row],[T.Remise]]</f>
        <v>323474</v>
      </c>
      <c r="J55" s="35"/>
    </row>
    <row r="56" spans="1:10" ht="18.600000000000001" thickTop="1">
      <c r="A56" s="9" t="s">
        <v>11</v>
      </c>
      <c r="B56" s="77">
        <v>45891</v>
      </c>
      <c r="C56" s="66">
        <v>84634</v>
      </c>
      <c r="D56" s="67">
        <v>79485</v>
      </c>
      <c r="E56" s="68">
        <v>5000</v>
      </c>
      <c r="F56" s="68">
        <f>Tableau8[[#This Row],[Versement]]-Tableau8[[#This Row],[T.Logiciel]]+Tableau8[[#This Row],[Charge]]</f>
        <v>-149</v>
      </c>
      <c r="G56" s="67"/>
      <c r="H56" s="67"/>
      <c r="I56" s="67">
        <f>Tableau8[[#This Row],[Versement]]-Tableau8[[#This Row],[Charge]]-Tableau8[[#This Row],[T.Remise]]</f>
        <v>74485</v>
      </c>
      <c r="J56" s="15"/>
    </row>
    <row r="57" spans="1:10" ht="18">
      <c r="A57" s="9" t="s">
        <v>31</v>
      </c>
      <c r="B57" s="77"/>
      <c r="C57" s="66">
        <v>130534</v>
      </c>
      <c r="D57" s="67">
        <v>130520</v>
      </c>
      <c r="E57" s="68"/>
      <c r="F57" s="68">
        <f>Tableau8[[#This Row],[Versement]]-Tableau8[[#This Row],[T.Logiciel]]+Tableau8[[#This Row],[Charge]]</f>
        <v>-14</v>
      </c>
      <c r="G57" s="67"/>
      <c r="H57" s="67"/>
      <c r="I57" s="67">
        <f>Tableau8[[#This Row],[Versement]]-Tableau8[[#This Row],[Charge]]-Tableau8[[#This Row],[T.Remise]]</f>
        <v>130520</v>
      </c>
      <c r="J57" s="15"/>
    </row>
    <row r="58" spans="1:10" ht="18.600000000000001" thickBot="1">
      <c r="A58" s="34" t="s">
        <v>30</v>
      </c>
      <c r="B58" s="76"/>
      <c r="C58" s="63">
        <v>256050</v>
      </c>
      <c r="D58" s="64">
        <v>256050</v>
      </c>
      <c r="E58" s="65"/>
      <c r="F58" s="65">
        <f>Tableau8[[#This Row],[Versement]]-Tableau8[[#This Row],[T.Logiciel]]+Tableau8[[#This Row],[Charge]]</f>
        <v>0</v>
      </c>
      <c r="G58" s="64"/>
      <c r="H58" s="64"/>
      <c r="I58" s="64">
        <f>Tableau8[[#This Row],[Versement]]-Tableau8[[#This Row],[Charge]]-Tableau8[[#This Row],[T.Remise]]</f>
        <v>256050</v>
      </c>
      <c r="J58" s="35"/>
    </row>
    <row r="59" spans="1:10" ht="18.600000000000001" thickTop="1">
      <c r="A59" s="9" t="s">
        <v>32</v>
      </c>
      <c r="B59" s="77">
        <v>45893</v>
      </c>
      <c r="C59" s="66">
        <v>177970</v>
      </c>
      <c r="D59" s="67">
        <v>177970</v>
      </c>
      <c r="E59" s="68"/>
      <c r="F59" s="68">
        <f>Tableau8[[#This Row],[Versement]]-Tableau8[[#This Row],[T.Logiciel]]+Tableau8[[#This Row],[Charge]]</f>
        <v>0</v>
      </c>
      <c r="G59" s="67"/>
      <c r="H59" s="67"/>
      <c r="I59" s="67">
        <f>Tableau8[[#This Row],[Versement]]-Tableau8[[#This Row],[Charge]]-Tableau8[[#This Row],[T.Remise]]</f>
        <v>177970</v>
      </c>
      <c r="J59" s="15"/>
    </row>
    <row r="60" spans="1:10" ht="18.600000000000001" thickBot="1">
      <c r="A60" s="34" t="s">
        <v>11</v>
      </c>
      <c r="B60" s="76"/>
      <c r="C60" s="63">
        <v>155874</v>
      </c>
      <c r="D60" s="64">
        <v>150320</v>
      </c>
      <c r="E60" s="65">
        <v>5000</v>
      </c>
      <c r="F60" s="65">
        <f>Tableau8[[#This Row],[Versement]]-Tableau8[[#This Row],[T.Logiciel]]+Tableau8[[#This Row],[Charge]]</f>
        <v>-554</v>
      </c>
      <c r="G60" s="64"/>
      <c r="H60" s="64"/>
      <c r="I60" s="64">
        <f>Tableau8[[#This Row],[Versement]]-Tableau8[[#This Row],[Charge]]-Tableau8[[#This Row],[T.Remise]]</f>
        <v>145320</v>
      </c>
      <c r="J60" s="35" t="s">
        <v>20</v>
      </c>
    </row>
    <row r="61" spans="1:10" ht="18.600000000000001" thickTop="1">
      <c r="A61" s="9" t="s">
        <v>11</v>
      </c>
      <c r="B61" s="77">
        <v>45894</v>
      </c>
      <c r="C61" s="66">
        <v>101412</v>
      </c>
      <c r="D61" s="67">
        <f>96240-900</f>
        <v>95340</v>
      </c>
      <c r="E61" s="68">
        <f>5000+900</f>
        <v>5900</v>
      </c>
      <c r="F61" s="68">
        <f>Tableau8[[#This Row],[Versement]]-Tableau8[[#This Row],[T.Logiciel]]+Tableau8[[#This Row],[Charge]]</f>
        <v>-172</v>
      </c>
      <c r="G61" s="67"/>
      <c r="H61" s="67"/>
      <c r="I61" s="67">
        <f>Tableau8[[#This Row],[Versement]]-Tableau8[[#This Row],[Charge]]-Tableau8[[#This Row],[T.Remise]]</f>
        <v>89440</v>
      </c>
      <c r="J61" s="15" t="s">
        <v>33</v>
      </c>
    </row>
    <row r="62" spans="1:10" ht="18">
      <c r="A62" s="9" t="s">
        <v>25</v>
      </c>
      <c r="B62" s="77"/>
      <c r="C62" s="66">
        <v>133774</v>
      </c>
      <c r="D62" s="67">
        <v>133774</v>
      </c>
      <c r="E62" s="68"/>
      <c r="F62" s="68">
        <f>Tableau8[[#This Row],[Versement]]-Tableau8[[#This Row],[T.Logiciel]]+Tableau8[[#This Row],[Charge]]</f>
        <v>0</v>
      </c>
      <c r="G62" s="67"/>
      <c r="H62" s="67"/>
      <c r="I62" s="67">
        <f>Tableau8[[#This Row],[Versement]]-Tableau8[[#This Row],[Charge]]-Tableau8[[#This Row],[T.Remise]]</f>
        <v>133774</v>
      </c>
      <c r="J62" s="15"/>
    </row>
    <row r="63" spans="1:10" ht="18.600000000000001" thickBot="1">
      <c r="A63" s="34" t="s">
        <v>34</v>
      </c>
      <c r="B63" s="76"/>
      <c r="C63" s="63">
        <v>161885</v>
      </c>
      <c r="D63" s="64">
        <v>160895</v>
      </c>
      <c r="E63" s="65"/>
      <c r="F63" s="65">
        <f>Tableau8[[#This Row],[Versement]]-Tableau8[[#This Row],[T.Logiciel]]+Tableau8[[#This Row],[Charge]]</f>
        <v>-990</v>
      </c>
      <c r="G63" s="64"/>
      <c r="H63" s="64"/>
      <c r="I63" s="64">
        <f>Tableau8[[#This Row],[Versement]]-Tableau8[[#This Row],[Charge]]-Tableau8[[#This Row],[T.Remise]]</f>
        <v>160895</v>
      </c>
      <c r="J63" s="35" t="s">
        <v>35</v>
      </c>
    </row>
    <row r="64" spans="1:10" ht="18.600000000000001" thickTop="1">
      <c r="A64" s="9" t="s">
        <v>11</v>
      </c>
      <c r="B64" s="77">
        <v>45895</v>
      </c>
      <c r="C64" s="66">
        <v>82224</v>
      </c>
      <c r="D64" s="67">
        <v>77100</v>
      </c>
      <c r="E64" s="68">
        <v>5000</v>
      </c>
      <c r="F64" s="68">
        <f>Tableau8[[#This Row],[Versement]]-Tableau8[[#This Row],[T.Logiciel]]+Tableau8[[#This Row],[Charge]]</f>
        <v>-124</v>
      </c>
      <c r="G64" s="67"/>
      <c r="H64" s="67"/>
      <c r="I64" s="67">
        <f>Tableau8[[#This Row],[Versement]]-Tableau8[[#This Row],[Charge]]-Tableau8[[#This Row],[T.Remise]]</f>
        <v>72100</v>
      </c>
      <c r="J64" s="15" t="s">
        <v>20</v>
      </c>
    </row>
    <row r="65" spans="1:10" ht="18">
      <c r="A65" s="9" t="s">
        <v>36</v>
      </c>
      <c r="B65" s="77"/>
      <c r="C65" s="66">
        <v>137420</v>
      </c>
      <c r="D65" s="67">
        <v>136930</v>
      </c>
      <c r="E65" s="68">
        <v>500</v>
      </c>
      <c r="F65" s="68">
        <f>Tableau8[[#This Row],[Versement]]-Tableau8[[#This Row],[T.Logiciel]]+Tableau8[[#This Row],[Charge]]</f>
        <v>10</v>
      </c>
      <c r="G65" s="67"/>
      <c r="H65" s="67"/>
      <c r="I65" s="67">
        <f>Tableau8[[#This Row],[Versement]]-Tableau8[[#This Row],[Charge]]-Tableau8[[#This Row],[T.Remise]]</f>
        <v>136430</v>
      </c>
      <c r="J65" s="15"/>
    </row>
    <row r="66" spans="1:10" ht="18.600000000000001" thickBot="1">
      <c r="A66" s="34" t="s">
        <v>30</v>
      </c>
      <c r="B66" s="76"/>
      <c r="C66" s="63">
        <v>272300</v>
      </c>
      <c r="D66" s="64">
        <v>271190</v>
      </c>
      <c r="E66" s="65"/>
      <c r="F66" s="65">
        <f>Tableau8[[#This Row],[Versement]]-Tableau8[[#This Row],[T.Logiciel]]+Tableau8[[#This Row],[Charge]]</f>
        <v>-1110</v>
      </c>
      <c r="G66" s="64"/>
      <c r="H66" s="64"/>
      <c r="I66" s="64">
        <f>Tableau8[[#This Row],[Versement]]-Tableau8[[#This Row],[Charge]]-Tableau8[[#This Row],[T.Remise]]</f>
        <v>271190</v>
      </c>
      <c r="J66" s="35"/>
    </row>
    <row r="67" spans="1:10" ht="18.600000000000001" thickTop="1">
      <c r="A67" s="9" t="s">
        <v>25</v>
      </c>
      <c r="B67" s="77">
        <v>45896</v>
      </c>
      <c r="C67" s="66">
        <v>129890</v>
      </c>
      <c r="D67" s="67">
        <v>128880</v>
      </c>
      <c r="E67" s="68">
        <v>1000</v>
      </c>
      <c r="F67" s="68">
        <f>Tableau8[[#This Row],[Versement]]-Tableau8[[#This Row],[T.Logiciel]]+Tableau8[[#This Row],[Charge]]</f>
        <v>-10</v>
      </c>
      <c r="G67" s="67"/>
      <c r="H67" s="67"/>
      <c r="I67" s="67">
        <f>Tableau8[[#This Row],[Versement]]-Tableau8[[#This Row],[Charge]]-Tableau8[[#This Row],[T.Remise]]</f>
        <v>127880</v>
      </c>
      <c r="J67" s="15"/>
    </row>
    <row r="68" spans="1:10" ht="18">
      <c r="A68" s="9" t="s">
        <v>34</v>
      </c>
      <c r="B68" s="77"/>
      <c r="C68" s="66">
        <v>101903</v>
      </c>
      <c r="D68" s="67">
        <v>101920</v>
      </c>
      <c r="E68" s="68"/>
      <c r="F68" s="68">
        <f>Tableau8[[#This Row],[Versement]]-Tableau8[[#This Row],[T.Logiciel]]+Tableau8[[#This Row],[Charge]]</f>
        <v>17</v>
      </c>
      <c r="G68" s="67"/>
      <c r="H68" s="67"/>
      <c r="I68" s="67">
        <f>Tableau8[[#This Row],[Versement]]-Tableau8[[#This Row],[Charge]]-Tableau8[[#This Row],[T.Remise]]</f>
        <v>101920</v>
      </c>
      <c r="J68" s="15"/>
    </row>
    <row r="69" spans="1:10" ht="18.600000000000001" thickBot="1">
      <c r="A69" s="34" t="s">
        <v>11</v>
      </c>
      <c r="B69" s="76"/>
      <c r="C69" s="63">
        <v>89735</v>
      </c>
      <c r="D69" s="64">
        <v>84600</v>
      </c>
      <c r="E69" s="65">
        <v>5000</v>
      </c>
      <c r="F69" s="65">
        <f>Tableau8[[#This Row],[Versement]]-Tableau8[[#This Row],[T.Logiciel]]+Tableau8[[#This Row],[Charge]]</f>
        <v>-135</v>
      </c>
      <c r="G69" s="64"/>
      <c r="H69" s="64"/>
      <c r="I69" s="64">
        <f>Tableau8[[#This Row],[Versement]]-Tableau8[[#This Row],[Charge]]-Tableau8[[#This Row],[T.Remise]]</f>
        <v>79600</v>
      </c>
      <c r="J69" s="35" t="s">
        <v>20</v>
      </c>
    </row>
    <row r="70" spans="1:10" ht="18.600000000000001" thickTop="1">
      <c r="A70" s="9" t="s">
        <v>25</v>
      </c>
      <c r="B70" s="77">
        <v>45897</v>
      </c>
      <c r="C70" s="66">
        <f>92410+100000</f>
        <v>192410</v>
      </c>
      <c r="D70" s="67">
        <f>92420+100000</f>
        <v>192420</v>
      </c>
      <c r="E70" s="68"/>
      <c r="F70" s="68">
        <f>Tableau8[[#This Row],[Versement]]-Tableau8[[#This Row],[T.Logiciel]]+Tableau8[[#This Row],[Charge]]</f>
        <v>10</v>
      </c>
      <c r="G70" s="67"/>
      <c r="H70" s="67"/>
      <c r="I70" s="67">
        <f>Tableau8[[#This Row],[Versement]]-Tableau8[[#This Row],[Charge]]-Tableau8[[#This Row],[T.Remise]]</f>
        <v>192420</v>
      </c>
      <c r="J70" s="15"/>
    </row>
    <row r="71" spans="1:10" ht="18">
      <c r="A71" s="9" t="s">
        <v>34</v>
      </c>
      <c r="B71" s="77"/>
      <c r="C71" s="66">
        <v>130468</v>
      </c>
      <c r="D71" s="67">
        <v>128470</v>
      </c>
      <c r="E71" s="68">
        <v>2000</v>
      </c>
      <c r="F71" s="68">
        <f>Tableau8[[#This Row],[Versement]]-Tableau8[[#This Row],[T.Logiciel]]+Tableau8[[#This Row],[Charge]]</f>
        <v>2</v>
      </c>
      <c r="G71" s="67"/>
      <c r="H71" s="67"/>
      <c r="I71" s="67">
        <f>Tableau8[[#This Row],[Versement]]-Tableau8[[#This Row],[Charge]]-Tableau8[[#This Row],[T.Remise]]</f>
        <v>126470</v>
      </c>
      <c r="J71" s="15" t="s">
        <v>37</v>
      </c>
    </row>
    <row r="72" spans="1:10" ht="18.600000000000001" thickBot="1">
      <c r="A72" s="34" t="s">
        <v>11</v>
      </c>
      <c r="B72" s="76"/>
      <c r="C72" s="63">
        <v>221976</v>
      </c>
      <c r="D72" s="64">
        <f>221765-5000</f>
        <v>216765</v>
      </c>
      <c r="E72" s="65">
        <v>5000</v>
      </c>
      <c r="F72" s="65">
        <f>Tableau8[[#This Row],[Versement]]-Tableau8[[#This Row],[T.Logiciel]]+Tableau8[[#This Row],[Charge]]</f>
        <v>-211</v>
      </c>
      <c r="G72" s="64"/>
      <c r="H72" s="64"/>
      <c r="I72" s="64">
        <f>Tableau8[[#This Row],[Versement]]-Tableau8[[#This Row],[Charge]]-Tableau8[[#This Row],[T.Remise]]</f>
        <v>211765</v>
      </c>
      <c r="J72" s="35" t="s">
        <v>20</v>
      </c>
    </row>
    <row r="73" spans="1:10" ht="18.600000000000001" thickTop="1">
      <c r="A73" s="9" t="s">
        <v>11</v>
      </c>
      <c r="B73" s="77">
        <v>45899</v>
      </c>
      <c r="C73" s="66">
        <v>127046</v>
      </c>
      <c r="D73" s="67">
        <v>121560</v>
      </c>
      <c r="E73" s="68">
        <v>5000</v>
      </c>
      <c r="F73" s="68">
        <f>Tableau8[[#This Row],[Versement]]-Tableau8[[#This Row],[T.Logiciel]]+Tableau8[[#This Row],[Charge]]</f>
        <v>-486</v>
      </c>
      <c r="G73" s="67"/>
      <c r="H73" s="67"/>
      <c r="I73" s="67">
        <f>Tableau8[[#This Row],[Versement]]-Tableau8[[#This Row],[Charge]]-Tableau8[[#This Row],[T.Remise]]</f>
        <v>116560</v>
      </c>
      <c r="J73" s="15" t="s">
        <v>20</v>
      </c>
    </row>
    <row r="74" spans="1:10" ht="18">
      <c r="A74" s="9" t="s">
        <v>38</v>
      </c>
      <c r="B74" s="77"/>
      <c r="C74" s="66">
        <v>290597</v>
      </c>
      <c r="D74" s="67">
        <v>290090</v>
      </c>
      <c r="E74" s="68">
        <v>500</v>
      </c>
      <c r="F74" s="68">
        <f>Tableau8[[#This Row],[Versement]]-Tableau8[[#This Row],[T.Logiciel]]+Tableau8[[#This Row],[Charge]]</f>
        <v>-7</v>
      </c>
      <c r="G74" s="67"/>
      <c r="H74" s="67"/>
      <c r="I74" s="67">
        <f>Tableau8[[#This Row],[Versement]]-Tableau8[[#This Row],[Charge]]-Tableau8[[#This Row],[T.Remise]]</f>
        <v>289590</v>
      </c>
      <c r="J74" s="15"/>
    </row>
    <row r="75" spans="1:10" ht="18.600000000000001" thickBot="1">
      <c r="A75" s="34" t="s">
        <v>34</v>
      </c>
      <c r="B75" s="76"/>
      <c r="C75" s="63">
        <v>182060</v>
      </c>
      <c r="D75" s="64">
        <v>182060</v>
      </c>
      <c r="E75" s="65"/>
      <c r="F75" s="65">
        <f>Tableau8[[#This Row],[Versement]]-Tableau8[[#This Row],[T.Logiciel]]+Tableau8[[#This Row],[Charge]]</f>
        <v>0</v>
      </c>
      <c r="G75" s="64"/>
      <c r="H75" s="64"/>
      <c r="I75" s="64">
        <f>Tableau8[[#This Row],[Versement]]-Tableau8[[#This Row],[Charge]]-Tableau8[[#This Row],[T.Remise]]</f>
        <v>182060</v>
      </c>
      <c r="J75" s="35"/>
    </row>
    <row r="76" spans="1:10" ht="18.600000000000001" thickTop="1">
      <c r="A76" s="9" t="s">
        <v>34</v>
      </c>
      <c r="B76" s="77">
        <v>45900</v>
      </c>
      <c r="C76" s="66">
        <v>204170</v>
      </c>
      <c r="D76" s="67">
        <v>203675</v>
      </c>
      <c r="E76" s="68">
        <v>500</v>
      </c>
      <c r="F76" s="68">
        <f>Tableau8[[#This Row],[Versement]]-Tableau8[[#This Row],[T.Logiciel]]+Tableau8[[#This Row],[Charge]]</f>
        <v>5</v>
      </c>
      <c r="G76" s="67"/>
      <c r="H76" s="67"/>
      <c r="I76" s="67">
        <f>Tableau8[[#This Row],[Versement]]-Tableau8[[#This Row],[Charge]]-Tableau8[[#This Row],[T.Remise]]</f>
        <v>203175</v>
      </c>
      <c r="J76" s="15"/>
    </row>
    <row r="77" spans="1:10" ht="18">
      <c r="A77" s="9" t="s">
        <v>11</v>
      </c>
      <c r="B77" s="77"/>
      <c r="C77" s="66">
        <v>210532</v>
      </c>
      <c r="D77" s="67">
        <v>205075</v>
      </c>
      <c r="E77" s="68">
        <v>5000</v>
      </c>
      <c r="F77" s="68">
        <f>Tableau8[[#This Row],[Versement]]-Tableau8[[#This Row],[T.Logiciel]]+Tableau8[[#This Row],[Charge]]</f>
        <v>-457</v>
      </c>
      <c r="G77" s="67"/>
      <c r="H77" s="67"/>
      <c r="I77" s="67">
        <f>Tableau8[[#This Row],[Versement]]-Tableau8[[#This Row],[Charge]]-Tableau8[[#This Row],[T.Remise]]</f>
        <v>200075</v>
      </c>
      <c r="J77" s="15" t="s">
        <v>20</v>
      </c>
    </row>
    <row r="78" spans="1:10" ht="18">
      <c r="A78" s="78" t="s">
        <v>9</v>
      </c>
      <c r="B78" s="78"/>
      <c r="C78" s="79">
        <f>SUBTOTAL(109,Tableau8[T.Logiciel])</f>
        <v>12530369</v>
      </c>
      <c r="D78" s="80">
        <f>SUBTOTAL(109,Tableau8[Versement])</f>
        <v>12357672</v>
      </c>
      <c r="E78" s="96">
        <f>SUBTOTAL(109,Tableau8[Charge])</f>
        <v>126690</v>
      </c>
      <c r="F78" s="80">
        <f>SUBTOTAL(109,Tableau8[Différence])</f>
        <v>-46007</v>
      </c>
      <c r="G78" s="80"/>
      <c r="H78" s="80"/>
      <c r="I78" s="80">
        <f>SUBTOTAL(109,Tableau8[Total])</f>
        <v>12230982</v>
      </c>
      <c r="J78" s="78"/>
    </row>
    <row r="79" spans="1:10">
      <c r="G79" s="33">
        <f>F21+920</f>
        <v>-4663</v>
      </c>
    </row>
    <row r="81" spans="1:6" ht="18.600000000000001" thickBot="1">
      <c r="A81" s="81" t="s">
        <v>39</v>
      </c>
      <c r="B81" s="82" t="s">
        <v>40</v>
      </c>
      <c r="E81" s="33"/>
    </row>
    <row r="82" spans="1:6" ht="18">
      <c r="A82" s="83">
        <v>45895</v>
      </c>
      <c r="B82" s="84">
        <f>D64+D65+D66</f>
        <v>485220</v>
      </c>
      <c r="F82" s="33"/>
    </row>
    <row r="83" spans="1:6" ht="18">
      <c r="A83" s="85">
        <v>45896</v>
      </c>
      <c r="B83" s="86">
        <f>D67+D68+D69+152000</f>
        <v>467400</v>
      </c>
    </row>
    <row r="84" spans="1:6" ht="18">
      <c r="A84" s="85">
        <v>45897</v>
      </c>
      <c r="B84" s="86">
        <f>152080+D70+D71+D72</f>
        <v>689735</v>
      </c>
      <c r="E84" s="33"/>
    </row>
    <row r="85" spans="1:6" ht="18">
      <c r="A85" s="85">
        <v>45899</v>
      </c>
      <c r="B85" s="86">
        <f>D73+D74+D75+170270+2000+77370-1000+880</f>
        <v>843230</v>
      </c>
    </row>
    <row r="86" spans="1:6" ht="18.600000000000001" thickBot="1">
      <c r="A86" s="85">
        <v>45900</v>
      </c>
      <c r="B86" s="86">
        <f>D76+D77+148625-220</f>
        <v>557155</v>
      </c>
    </row>
    <row r="87" spans="1:6" ht="18.600000000000001" thickTop="1">
      <c r="A87" s="87" t="s">
        <v>9</v>
      </c>
      <c r="B87" s="88">
        <f>SUM(B82:B86)</f>
        <v>3042740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3:H126"/>
  <sheetViews>
    <sheetView topLeftCell="A51" workbookViewId="0">
      <selection activeCell="B44" sqref="B44"/>
    </sheetView>
  </sheetViews>
  <sheetFormatPr baseColWidth="10" defaultColWidth="11.3984375" defaultRowHeight="13.8"/>
  <cols>
    <col min="1" max="1" width="17.3984375" customWidth="1"/>
    <col min="2" max="2" width="17.8984375" bestFit="1" customWidth="1"/>
    <col min="3" max="3" width="19.3984375" bestFit="1" customWidth="1"/>
    <col min="4" max="5" width="20.69921875" bestFit="1" customWidth="1"/>
    <col min="6" max="6" width="18.09765625" bestFit="1" customWidth="1"/>
    <col min="7" max="7" width="19.3984375" bestFit="1" customWidth="1"/>
    <col min="8" max="8" width="52.59765625" customWidth="1"/>
  </cols>
  <sheetData>
    <row r="3" spans="1:8" ht="26.4" customHeight="1">
      <c r="A3" s="94" t="s">
        <v>2</v>
      </c>
      <c r="B3" s="94" t="s">
        <v>1</v>
      </c>
      <c r="C3" s="94" t="s">
        <v>41</v>
      </c>
      <c r="D3" s="94" t="s">
        <v>42</v>
      </c>
      <c r="E3" s="94" t="s">
        <v>4</v>
      </c>
      <c r="F3" s="94" t="s">
        <v>5</v>
      </c>
      <c r="G3" s="94" t="s">
        <v>6</v>
      </c>
      <c r="H3" s="94" t="s">
        <v>10</v>
      </c>
    </row>
    <row r="4" spans="1:8" ht="18">
      <c r="A4" s="89">
        <v>45901</v>
      </c>
      <c r="B4" s="90" t="s">
        <v>11</v>
      </c>
      <c r="C4" s="90"/>
      <c r="D4" s="91">
        <v>93943</v>
      </c>
      <c r="E4" s="91">
        <v>88845</v>
      </c>
      <c r="F4" s="91">
        <v>5000</v>
      </c>
      <c r="G4" s="91">
        <f>Tableau9[[#This Row],[Charge]]+Tableau9[[#This Row],[Versement]]-Tableau9[[#This Row],[T. Logiciel]]</f>
        <v>-98</v>
      </c>
      <c r="H4" s="111" t="s">
        <v>43</v>
      </c>
    </row>
    <row r="5" spans="1:8" ht="18">
      <c r="A5" s="90"/>
      <c r="B5" s="90" t="s">
        <v>34</v>
      </c>
      <c r="C5" s="90"/>
      <c r="D5" s="91">
        <v>166138</v>
      </c>
      <c r="E5" s="91">
        <v>166138</v>
      </c>
      <c r="F5" s="91">
        <v>0</v>
      </c>
      <c r="G5" s="91">
        <f>Tableau9[[#This Row],[Charge]]+Tableau9[[#This Row],[Versement]]-Tableau9[[#This Row],[T. Logiciel]]</f>
        <v>0</v>
      </c>
      <c r="H5" s="111"/>
    </row>
    <row r="6" spans="1:8" ht="18.600000000000001" thickBot="1">
      <c r="A6" s="92"/>
      <c r="B6" s="92" t="s">
        <v>44</v>
      </c>
      <c r="C6" s="92"/>
      <c r="D6" s="93">
        <v>137176</v>
      </c>
      <c r="E6" s="93">
        <f>93330+27300+15046</f>
        <v>135676</v>
      </c>
      <c r="F6" s="93">
        <v>1500</v>
      </c>
      <c r="G6" s="93">
        <f>Tableau9[[#This Row],[Charge]]+Tableau9[[#This Row],[Versement]]-Tableau9[[#This Row],[T. Logiciel]]</f>
        <v>0</v>
      </c>
      <c r="H6" s="112" t="s">
        <v>45</v>
      </c>
    </row>
    <row r="7" spans="1:8" ht="18.600000000000001" thickTop="1">
      <c r="A7" s="89">
        <v>45902</v>
      </c>
      <c r="B7" s="90" t="s">
        <v>11</v>
      </c>
      <c r="C7" s="90"/>
      <c r="D7" s="91">
        <v>146296</v>
      </c>
      <c r="E7" s="91">
        <v>146195</v>
      </c>
      <c r="F7" s="91">
        <v>0</v>
      </c>
      <c r="G7" s="91">
        <f>Tableau9[[#This Row],[Charge]]+Tableau9[[#This Row],[Versement]]-Tableau9[[#This Row],[T. Logiciel]]</f>
        <v>-101</v>
      </c>
      <c r="H7" s="111"/>
    </row>
    <row r="8" spans="1:8" ht="18">
      <c r="A8" s="90"/>
      <c r="B8" s="90" t="s">
        <v>13</v>
      </c>
      <c r="C8" s="90"/>
      <c r="D8" s="91">
        <v>131591</v>
      </c>
      <c r="E8" s="91">
        <v>131695</v>
      </c>
      <c r="F8" s="91">
        <v>0</v>
      </c>
      <c r="G8" s="91">
        <f>Tableau9[[#This Row],[Charge]]+Tableau9[[#This Row],[Versement]]-Tableau9[[#This Row],[T. Logiciel]]</f>
        <v>104</v>
      </c>
      <c r="H8" s="111"/>
    </row>
    <row r="9" spans="1:8" ht="18.600000000000001" thickBot="1">
      <c r="A9" s="92"/>
      <c r="B9" s="92" t="s">
        <v>44</v>
      </c>
      <c r="C9" s="92"/>
      <c r="D9" s="93">
        <v>292230</v>
      </c>
      <c r="E9" s="93">
        <f>271250+22060-1080</f>
        <v>292230</v>
      </c>
      <c r="F9" s="93">
        <v>0</v>
      </c>
      <c r="G9" s="93">
        <f>Tableau9[[#This Row],[Charge]]+Tableau9[[#This Row],[Versement]]-Tableau9[[#This Row],[T. Logiciel]]</f>
        <v>0</v>
      </c>
      <c r="H9" s="112"/>
    </row>
    <row r="10" spans="1:8" ht="18.600000000000001" thickTop="1">
      <c r="A10" s="89">
        <v>45903</v>
      </c>
      <c r="B10" s="90" t="s">
        <v>11</v>
      </c>
      <c r="C10" s="90"/>
      <c r="D10" s="91">
        <v>96644</v>
      </c>
      <c r="E10" s="91">
        <v>95510</v>
      </c>
      <c r="F10" s="91">
        <v>1000</v>
      </c>
      <c r="G10" s="91">
        <f>Tableau9[[#This Row],[Charge]]+Tableau9[[#This Row],[Versement]]-Tableau9[[#This Row],[T. Logiciel]]</f>
        <v>-134</v>
      </c>
      <c r="H10" s="111" t="s">
        <v>28</v>
      </c>
    </row>
    <row r="11" spans="1:8" ht="18">
      <c r="A11" s="90"/>
      <c r="B11" s="90" t="s">
        <v>13</v>
      </c>
      <c r="C11" s="90"/>
      <c r="D11" s="91">
        <v>88698</v>
      </c>
      <c r="E11" s="91">
        <v>88660</v>
      </c>
      <c r="F11" s="91">
        <v>0</v>
      </c>
      <c r="G11" s="91">
        <f>Tableau9[[#This Row],[Charge]]+Tableau9[[#This Row],[Versement]]-Tableau9[[#This Row],[T. Logiciel]]</f>
        <v>-38</v>
      </c>
      <c r="H11" s="111"/>
    </row>
    <row r="12" spans="1:8" ht="18.600000000000001" thickBot="1">
      <c r="A12" s="92"/>
      <c r="B12" s="92" t="s">
        <v>30</v>
      </c>
      <c r="C12" s="92"/>
      <c r="D12" s="93">
        <v>241214</v>
      </c>
      <c r="E12" s="93">
        <f>235072-1000</f>
        <v>234072</v>
      </c>
      <c r="F12" s="93">
        <v>1000</v>
      </c>
      <c r="G12" s="93">
        <f>Tableau9[[#This Row],[Charge]]+Tableau9[[#This Row],[Versement]]-Tableau9[[#This Row],[T. Logiciel]]</f>
        <v>-6142</v>
      </c>
      <c r="H12" s="112"/>
    </row>
    <row r="13" spans="1:8" ht="18.600000000000001" thickTop="1">
      <c r="A13" s="89">
        <v>45904</v>
      </c>
      <c r="B13" s="90" t="s">
        <v>11</v>
      </c>
      <c r="C13" s="90"/>
      <c r="D13" s="91">
        <v>229872</v>
      </c>
      <c r="E13" s="91">
        <v>229470</v>
      </c>
      <c r="F13" s="91">
        <v>0</v>
      </c>
      <c r="G13" s="91">
        <f>Tableau9[[#This Row],[Charge]]+Tableau9[[#This Row],[Versement]]-Tableau9[[#This Row],[T. Logiciel]]</f>
        <v>-402</v>
      </c>
      <c r="H13" s="111"/>
    </row>
    <row r="14" spans="1:8" ht="18">
      <c r="A14" s="90"/>
      <c r="B14" s="90" t="s">
        <v>13</v>
      </c>
      <c r="C14" s="90"/>
      <c r="D14" s="91">
        <f>161324+460</f>
        <v>161784</v>
      </c>
      <c r="E14" s="91">
        <f>161780-500</f>
        <v>161280</v>
      </c>
      <c r="F14" s="91">
        <v>500</v>
      </c>
      <c r="G14" s="91">
        <f>Tableau9[[#This Row],[Charge]]+Tableau9[[#This Row],[Versement]]-Tableau9[[#This Row],[T. Logiciel]]</f>
        <v>-4</v>
      </c>
      <c r="H14" s="111" t="s">
        <v>46</v>
      </c>
    </row>
    <row r="15" spans="1:8" ht="18.600000000000001" thickBot="1">
      <c r="A15" s="92"/>
      <c r="B15" s="92" t="s">
        <v>30</v>
      </c>
      <c r="C15" s="92"/>
      <c r="D15" s="93">
        <v>361532</v>
      </c>
      <c r="E15" s="93">
        <v>361520</v>
      </c>
      <c r="F15" s="93">
        <v>0</v>
      </c>
      <c r="G15" s="93">
        <f>Tableau9[[#This Row],[Charge]]+Tableau9[[#This Row],[Versement]]-Tableau9[[#This Row],[T. Logiciel]]</f>
        <v>-12</v>
      </c>
      <c r="H15" s="112"/>
    </row>
    <row r="16" spans="1:8" ht="18.600000000000001" thickTop="1">
      <c r="A16" s="89">
        <v>45906</v>
      </c>
      <c r="B16" s="90" t="s">
        <v>11</v>
      </c>
      <c r="C16" s="90"/>
      <c r="D16" s="91">
        <v>204960</v>
      </c>
      <c r="E16" s="91">
        <f>138410+58850</f>
        <v>197260</v>
      </c>
      <c r="F16" s="91">
        <f>5000+2250</f>
        <v>7250</v>
      </c>
      <c r="G16" s="91">
        <f>Tableau9[[#This Row],[Charge]]+Tableau9[[#This Row],[Versement]]-Tableau9[[#This Row],[T. Logiciel]]</f>
        <v>-450</v>
      </c>
      <c r="H16" s="111" t="s">
        <v>47</v>
      </c>
    </row>
    <row r="17" spans="1:8" ht="18">
      <c r="A17" s="90"/>
      <c r="B17" s="90" t="s">
        <v>13</v>
      </c>
      <c r="C17" s="90"/>
      <c r="D17" s="91">
        <f>160164-5400</f>
        <v>154764</v>
      </c>
      <c r="E17" s="91">
        <f>146350-900</f>
        <v>145450</v>
      </c>
      <c r="F17" s="91">
        <f>8400+900</f>
        <v>9300</v>
      </c>
      <c r="G17" s="91">
        <f>Tableau9[[#This Row],[Charge]]+Tableau9[[#This Row],[Versement]]-Tableau9[[#This Row],[T. Logiciel]]</f>
        <v>-14</v>
      </c>
      <c r="H17" s="111" t="s">
        <v>48</v>
      </c>
    </row>
    <row r="18" spans="1:8" ht="18.600000000000001" thickBot="1">
      <c r="A18" s="92"/>
      <c r="B18" s="92" t="s">
        <v>30</v>
      </c>
      <c r="C18" s="92"/>
      <c r="D18" s="93">
        <f>346346-115200-22709</f>
        <v>208437</v>
      </c>
      <c r="E18" s="93">
        <f>219655-17915</f>
        <v>201740</v>
      </c>
      <c r="F18" s="93">
        <v>600</v>
      </c>
      <c r="G18" s="93">
        <f>Tableau9[[#This Row],[Charge]]+Tableau9[[#This Row],[Versement]]-Tableau9[[#This Row],[T. Logiciel]]</f>
        <v>-6097</v>
      </c>
      <c r="H18" s="112" t="s">
        <v>49</v>
      </c>
    </row>
    <row r="19" spans="1:8" ht="18.600000000000001" thickTop="1">
      <c r="A19" s="89">
        <v>45907</v>
      </c>
      <c r="B19" s="90" t="s">
        <v>22</v>
      </c>
      <c r="C19" s="90"/>
      <c r="D19" s="91">
        <v>115200</v>
      </c>
      <c r="E19" s="91">
        <v>116000</v>
      </c>
      <c r="F19" s="91">
        <v>0</v>
      </c>
      <c r="G19" s="91">
        <f>Tableau9[[#This Row],[Charge]]+Tableau9[[#This Row],[Versement]]-Tableau9[[#This Row],[T. Logiciel]]</f>
        <v>800</v>
      </c>
      <c r="H19" s="111" t="s">
        <v>50</v>
      </c>
    </row>
    <row r="20" spans="1:8" ht="18">
      <c r="A20" s="90"/>
      <c r="B20" s="90" t="s">
        <v>11</v>
      </c>
      <c r="C20" s="90"/>
      <c r="D20" s="91">
        <v>205186</v>
      </c>
      <c r="E20" s="91">
        <f>203915-5000-2500</f>
        <v>196415</v>
      </c>
      <c r="F20" s="91">
        <f>5000+2500</f>
        <v>7500</v>
      </c>
      <c r="G20" s="91">
        <f>Tableau9[[#This Row],[Charge]]+Tableau9[[#This Row],[Versement]]-Tableau9[[#This Row],[T. Logiciel]]</f>
        <v>-1271</v>
      </c>
      <c r="H20" s="111" t="s">
        <v>51</v>
      </c>
    </row>
    <row r="21" spans="1:8" ht="18.600000000000001" thickBot="1">
      <c r="A21" s="92"/>
      <c r="B21" s="92" t="s">
        <v>34</v>
      </c>
      <c r="C21" s="92"/>
      <c r="D21" s="93">
        <v>149119</v>
      </c>
      <c r="E21" s="93">
        <v>149120</v>
      </c>
      <c r="F21" s="93">
        <v>0</v>
      </c>
      <c r="G21" s="93">
        <f>Tableau9[[#This Row],[Charge]]+Tableau9[[#This Row],[Versement]]-Tableau9[[#This Row],[T. Logiciel]]</f>
        <v>1</v>
      </c>
      <c r="H21" s="112"/>
    </row>
    <row r="22" spans="1:8" ht="18.600000000000001" thickTop="1">
      <c r="A22" s="97">
        <v>45908</v>
      </c>
      <c r="B22" s="108" t="s">
        <v>11</v>
      </c>
      <c r="C22" s="108"/>
      <c r="D22" s="91">
        <v>87658</v>
      </c>
      <c r="E22" s="91">
        <v>82550</v>
      </c>
      <c r="F22" s="91">
        <v>5000</v>
      </c>
      <c r="G22" s="91">
        <f>Tableau9[[#This Row],[Charge]]+Tableau9[[#This Row],[Versement]]-Tableau9[[#This Row],[T. Logiciel]]</f>
        <v>-108</v>
      </c>
      <c r="H22" s="113" t="s">
        <v>52</v>
      </c>
    </row>
    <row r="23" spans="1:8" ht="18">
      <c r="A23" s="99"/>
      <c r="B23" s="108" t="s">
        <v>34</v>
      </c>
      <c r="C23" s="108"/>
      <c r="D23" s="91">
        <v>210825</v>
      </c>
      <c r="E23" s="91">
        <v>210820</v>
      </c>
      <c r="F23" s="91">
        <v>0</v>
      </c>
      <c r="G23" s="91">
        <f>Tableau9[[#This Row],[Charge]]+Tableau9[[#This Row],[Versement]]-Tableau9[[#This Row],[T. Logiciel]]</f>
        <v>-5</v>
      </c>
      <c r="H23" s="113"/>
    </row>
    <row r="24" spans="1:8" ht="18.600000000000001" thickBot="1">
      <c r="A24" s="100"/>
      <c r="B24" s="116" t="s">
        <v>22</v>
      </c>
      <c r="C24" s="116"/>
      <c r="D24" s="93">
        <v>125233</v>
      </c>
      <c r="E24" s="93">
        <f>103364+21869</f>
        <v>125233</v>
      </c>
      <c r="F24" s="93">
        <v>0</v>
      </c>
      <c r="G24" s="93">
        <f>Tableau9[[#This Row],[Charge]]+Tableau9[[#This Row],[Versement]]-Tableau9[[#This Row],[T. Logiciel]]</f>
        <v>0</v>
      </c>
      <c r="H24" s="114" t="s">
        <v>53</v>
      </c>
    </row>
    <row r="25" spans="1:8" ht="18.600000000000001" thickTop="1">
      <c r="A25" s="99">
        <v>45909</v>
      </c>
      <c r="B25" s="108" t="s">
        <v>11</v>
      </c>
      <c r="C25" s="108"/>
      <c r="D25" s="91">
        <v>106210</v>
      </c>
      <c r="E25" s="91">
        <v>100955</v>
      </c>
      <c r="F25" s="91">
        <v>5000</v>
      </c>
      <c r="G25" s="91">
        <f>Tableau9[[#This Row],[Charge]]+Tableau9[[#This Row],[Versement]]-Tableau9[[#This Row],[T. Logiciel]]</f>
        <v>-255</v>
      </c>
      <c r="H25" s="113" t="s">
        <v>52</v>
      </c>
    </row>
    <row r="26" spans="1:8" ht="18">
      <c r="A26" s="99"/>
      <c r="B26" s="108" t="s">
        <v>30</v>
      </c>
      <c r="C26" s="108"/>
      <c r="D26" s="91">
        <v>298895</v>
      </c>
      <c r="E26" s="91">
        <f>298895-1000</f>
        <v>297895</v>
      </c>
      <c r="F26" s="91">
        <v>1000</v>
      </c>
      <c r="G26" s="91">
        <f>Tableau9[[#This Row],[Charge]]+Tableau9[[#This Row],[Versement]]-Tableau9[[#This Row],[T. Logiciel]]</f>
        <v>0</v>
      </c>
      <c r="H26" s="113" t="s">
        <v>54</v>
      </c>
    </row>
    <row r="27" spans="1:8" ht="18.600000000000001" thickBot="1">
      <c r="A27" s="100"/>
      <c r="B27" s="116" t="s">
        <v>13</v>
      </c>
      <c r="C27" s="116"/>
      <c r="D27" s="93">
        <v>119483</v>
      </c>
      <c r="E27" s="93">
        <v>118480</v>
      </c>
      <c r="F27" s="93">
        <v>1000</v>
      </c>
      <c r="G27" s="93">
        <f>Tableau9[[#This Row],[Charge]]+Tableau9[[#This Row],[Versement]]-Tableau9[[#This Row],[T. Logiciel]]</f>
        <v>-3</v>
      </c>
      <c r="H27" s="114" t="s">
        <v>28</v>
      </c>
    </row>
    <row r="28" spans="1:8" ht="18.600000000000001" thickTop="1">
      <c r="A28" s="99">
        <v>45910</v>
      </c>
      <c r="B28" s="108" t="s">
        <v>11</v>
      </c>
      <c r="C28" s="108"/>
      <c r="D28" s="91">
        <v>64914</v>
      </c>
      <c r="E28" s="91">
        <v>64385</v>
      </c>
      <c r="F28" s="91">
        <v>360</v>
      </c>
      <c r="G28" s="91">
        <f>Tableau9[[#This Row],[Charge]]+Tableau9[[#This Row],[Versement]]-Tableau9[[#This Row],[T. Logiciel]]</f>
        <v>-169</v>
      </c>
      <c r="H28" s="113" t="s">
        <v>55</v>
      </c>
    </row>
    <row r="29" spans="1:8" ht="18">
      <c r="A29" s="99"/>
      <c r="B29" s="108" t="s">
        <v>16</v>
      </c>
      <c r="C29" s="108"/>
      <c r="D29" s="91">
        <v>157000</v>
      </c>
      <c r="E29" s="91">
        <v>157000</v>
      </c>
      <c r="F29" s="91">
        <v>0</v>
      </c>
      <c r="G29" s="91">
        <f>Tableau9[[#This Row],[Charge]]+Tableau9[[#This Row],[Versement]]-Tableau9[[#This Row],[T. Logiciel]]</f>
        <v>0</v>
      </c>
      <c r="H29" s="113"/>
    </row>
    <row r="30" spans="1:8" ht="18.600000000000001" thickBot="1">
      <c r="A30" s="100"/>
      <c r="B30" s="116" t="s">
        <v>13</v>
      </c>
      <c r="C30" s="116"/>
      <c r="D30" s="93">
        <v>73734</v>
      </c>
      <c r="E30" s="93">
        <v>73635</v>
      </c>
      <c r="F30" s="93">
        <v>100</v>
      </c>
      <c r="G30" s="93">
        <f>Tableau9[[#This Row],[Charge]]+Tableau9[[#This Row],[Versement]]-Tableau9[[#This Row],[T. Logiciel]]</f>
        <v>1</v>
      </c>
      <c r="H30" s="114" t="s">
        <v>56</v>
      </c>
    </row>
    <row r="31" spans="1:8" ht="18.600000000000001" thickTop="1">
      <c r="A31" s="99">
        <v>45911</v>
      </c>
      <c r="B31" s="108" t="s">
        <v>13</v>
      </c>
      <c r="C31" s="110">
        <v>121968</v>
      </c>
      <c r="D31" s="91">
        <v>120988</v>
      </c>
      <c r="E31" s="91">
        <v>112985</v>
      </c>
      <c r="F31" s="91">
        <v>8000</v>
      </c>
      <c r="G31" s="91">
        <f>Tableau9[[#This Row],[Charge]]+Tableau9[[#This Row],[Versement]]-Tableau9[[#This Row],[T. Logiciel]]</f>
        <v>-3</v>
      </c>
      <c r="H31" s="113" t="s">
        <v>57</v>
      </c>
    </row>
    <row r="32" spans="1:8" ht="31.8">
      <c r="A32" s="99"/>
      <c r="B32" s="108" t="s">
        <v>30</v>
      </c>
      <c r="C32" s="110">
        <v>247875</v>
      </c>
      <c r="D32" s="91">
        <v>247815</v>
      </c>
      <c r="E32" s="91">
        <f>247000 - 4800</f>
        <v>242200</v>
      </c>
      <c r="F32" s="91">
        <f>4800</f>
        <v>4800</v>
      </c>
      <c r="G32" s="91">
        <f>Tableau9[[#This Row],[Charge]]+Tableau9[[#This Row],[Versement]]-Tableau9[[#This Row],[T. Logiciel]]</f>
        <v>-815</v>
      </c>
      <c r="H32" s="121" t="s">
        <v>58</v>
      </c>
    </row>
    <row r="33" spans="1:8" ht="18.600000000000001" thickBot="1">
      <c r="A33" s="100"/>
      <c r="B33" s="116" t="s">
        <v>59</v>
      </c>
      <c r="C33" s="117"/>
      <c r="D33" s="93">
        <v>170368</v>
      </c>
      <c r="E33" s="93">
        <v>170370</v>
      </c>
      <c r="F33" s="93">
        <v>0</v>
      </c>
      <c r="G33" s="93">
        <f>Tableau9[[#This Row],[Charge]]+Tableau9[[#This Row],[Versement]]-Tableau9[[#This Row],[T. Logiciel]]</f>
        <v>2</v>
      </c>
      <c r="H33" s="114" t="s">
        <v>60</v>
      </c>
    </row>
    <row r="34" spans="1:8" ht="18.600000000000001" thickTop="1">
      <c r="A34" s="99">
        <v>45913</v>
      </c>
      <c r="B34" s="108" t="s">
        <v>59</v>
      </c>
      <c r="C34" s="110">
        <v>228227</v>
      </c>
      <c r="D34" s="91">
        <v>228227</v>
      </c>
      <c r="E34" s="91">
        <f>200230-2000</f>
        <v>198230</v>
      </c>
      <c r="F34" s="91">
        <v>0</v>
      </c>
      <c r="G34" s="91">
        <f>Tableau9[[#This Row],[Charge]]+Tableau9[[#This Row],[Versement]]-Tableau9[[#This Row],[T. Logiciel]]</f>
        <v>-29997</v>
      </c>
      <c r="H34" s="113" t="s">
        <v>61</v>
      </c>
    </row>
    <row r="35" spans="1:8" ht="18">
      <c r="A35" s="99"/>
      <c r="B35" s="108" t="s">
        <v>30</v>
      </c>
      <c r="C35" s="110">
        <v>205413</v>
      </c>
      <c r="D35" s="91">
        <v>209253</v>
      </c>
      <c r="E35" s="91">
        <v>208700</v>
      </c>
      <c r="F35" s="91">
        <v>0</v>
      </c>
      <c r="G35" s="91">
        <f>Tableau9[[#This Row],[Charge]]+Tableau9[[#This Row],[Versement]]-Tableau9[[#This Row],[T. Logiciel]]</f>
        <v>-553</v>
      </c>
      <c r="H35" s="121" t="s">
        <v>62</v>
      </c>
    </row>
    <row r="36" spans="1:8" ht="31.8">
      <c r="A36" s="99"/>
      <c r="B36" s="108" t="s">
        <v>13</v>
      </c>
      <c r="C36" s="110">
        <v>143319</v>
      </c>
      <c r="D36" s="91">
        <v>138534</v>
      </c>
      <c r="E36" s="91">
        <v>131340</v>
      </c>
      <c r="F36" s="91">
        <v>5000</v>
      </c>
      <c r="G36" s="91">
        <f>Tableau9[[#This Row],[Charge]]+Tableau9[[#This Row],[Versement]]-Tableau9[[#This Row],[T. Logiciel]]</f>
        <v>-2194</v>
      </c>
      <c r="H36" s="121" t="s">
        <v>63</v>
      </c>
    </row>
    <row r="37" spans="1:8" ht="18.600000000000001" thickBot="1">
      <c r="A37" s="104"/>
      <c r="B37" s="118" t="s">
        <v>11</v>
      </c>
      <c r="C37" s="119"/>
      <c r="D37" s="219">
        <v>109604</v>
      </c>
      <c r="E37" s="219">
        <v>108280</v>
      </c>
      <c r="F37" s="219">
        <v>1000</v>
      </c>
      <c r="G37" s="219">
        <f>Tableau9[[#This Row],[Charge]]+Tableau9[[#This Row],[Versement]]-Tableau9[[#This Row],[T. Logiciel]]</f>
        <v>-324</v>
      </c>
      <c r="H37" s="115" t="s">
        <v>64</v>
      </c>
    </row>
    <row r="38" spans="1:8" ht="18.600000000000001" thickTop="1">
      <c r="A38" s="99">
        <v>45914</v>
      </c>
      <c r="B38" s="108" t="s">
        <v>59</v>
      </c>
      <c r="C38" s="109"/>
      <c r="D38" s="110">
        <v>127787</v>
      </c>
      <c r="E38" s="110">
        <f>120000+28000</f>
        <v>148000</v>
      </c>
      <c r="F38" s="110">
        <v>0</v>
      </c>
      <c r="G38" s="110">
        <f>Tableau9[[#This Row],[Charge]]+Tableau9[[#This Row],[Versement]]-Tableau9[[#This Row],[T. Logiciel]]</f>
        <v>20213</v>
      </c>
      <c r="H38" s="105" t="s">
        <v>65</v>
      </c>
    </row>
    <row r="39" spans="1:8" ht="31.2">
      <c r="A39" s="108"/>
      <c r="B39" s="108" t="s">
        <v>34</v>
      </c>
      <c r="C39" s="109">
        <v>182624</v>
      </c>
      <c r="D39" s="110">
        <f>182219+49175</f>
        <v>231394</v>
      </c>
      <c r="E39" s="110">
        <f>181120+2000+500+49175</f>
        <v>232795</v>
      </c>
      <c r="F39" s="110">
        <v>1100</v>
      </c>
      <c r="G39" s="110">
        <f>Tableau9[[#This Row],[Charge]]+Tableau9[[#This Row],[Versement]]-Tableau9[[#This Row],[T. Logiciel]]</f>
        <v>2501</v>
      </c>
      <c r="H39" s="121" t="s">
        <v>66</v>
      </c>
    </row>
    <row r="40" spans="1:8" ht="18.600000000000001" thickBot="1">
      <c r="A40" s="101"/>
      <c r="B40" s="116" t="s">
        <v>11</v>
      </c>
      <c r="C40" s="120"/>
      <c r="D40" s="117">
        <v>194330</v>
      </c>
      <c r="E40" s="117">
        <f>1900+194330-250</f>
        <v>195980</v>
      </c>
      <c r="F40" s="117">
        <v>250</v>
      </c>
      <c r="G40" s="117">
        <f>Tableau9[[#This Row],[Charge]]+Tableau9[[#This Row],[Versement]]-Tableau9[[#This Row],[T. Logiciel]]</f>
        <v>1900</v>
      </c>
      <c r="H40" s="107" t="s">
        <v>67</v>
      </c>
    </row>
    <row r="41" spans="1:8" ht="18.600000000000001" thickTop="1">
      <c r="A41" s="99">
        <v>45915</v>
      </c>
      <c r="B41" s="108" t="s">
        <v>59</v>
      </c>
      <c r="C41" s="109"/>
      <c r="D41" s="110">
        <v>185881</v>
      </c>
      <c r="E41" s="110">
        <v>185075</v>
      </c>
      <c r="F41" s="110">
        <v>0</v>
      </c>
      <c r="G41" s="110">
        <f>Tableau9[[#This Row],[Charge]]+Tableau9[[#This Row],[Versement]]-Tableau9[[#This Row],[T. Logiciel]]</f>
        <v>-806</v>
      </c>
      <c r="H41" s="105" t="s">
        <v>68</v>
      </c>
    </row>
    <row r="42" spans="1:8" ht="18">
      <c r="A42" s="98"/>
      <c r="B42" s="108" t="s">
        <v>34</v>
      </c>
      <c r="C42" s="109">
        <v>175817</v>
      </c>
      <c r="D42" s="110">
        <v>164427</v>
      </c>
      <c r="E42" s="110">
        <v>163405</v>
      </c>
      <c r="F42" s="110">
        <v>0</v>
      </c>
      <c r="G42" s="110">
        <f>Tableau9[[#This Row],[Charge]]+Tableau9[[#This Row],[Versement]]-Tableau9[[#This Row],[T. Logiciel]]</f>
        <v>-1022</v>
      </c>
      <c r="H42" s="105" t="s">
        <v>69</v>
      </c>
    </row>
    <row r="43" spans="1:8" ht="18">
      <c r="A43" s="98"/>
      <c r="B43" s="108" t="s">
        <v>16</v>
      </c>
      <c r="C43" s="109">
        <v>161361</v>
      </c>
      <c r="D43" s="110">
        <v>161361</v>
      </c>
      <c r="E43" s="110">
        <f>138500+22810</f>
        <v>161310</v>
      </c>
      <c r="F43" s="110">
        <v>0</v>
      </c>
      <c r="G43" s="110">
        <f>Tableau9[[#This Row],[Charge]]+Tableau9[[#This Row],[Versement]]-Tableau9[[#This Row],[T. Logiciel]]</f>
        <v>-51</v>
      </c>
      <c r="H43" s="105" t="s">
        <v>70</v>
      </c>
    </row>
    <row r="44" spans="1:8" ht="18.600000000000001" thickBot="1">
      <c r="A44" s="124"/>
      <c r="B44" s="118" t="s">
        <v>11</v>
      </c>
      <c r="C44" s="122">
        <v>58679</v>
      </c>
      <c r="D44" s="119">
        <v>53539</v>
      </c>
      <c r="E44" s="119">
        <v>52530</v>
      </c>
      <c r="F44" s="119">
        <v>1000</v>
      </c>
      <c r="G44" s="119">
        <f>Tableau9[[#This Row],[Charge]]+Tableau9[[#This Row],[Versement]]-Tableau9[[#This Row],[T. Logiciel]]</f>
        <v>-9</v>
      </c>
      <c r="H44" s="123" t="s">
        <v>71</v>
      </c>
    </row>
    <row r="45" spans="1:8" ht="18.600000000000001" thickTop="1">
      <c r="A45" s="99">
        <v>45916</v>
      </c>
      <c r="B45" s="108" t="s">
        <v>59</v>
      </c>
      <c r="C45" s="109"/>
      <c r="D45" s="110">
        <f>202887</f>
        <v>202887</v>
      </c>
      <c r="E45" s="110">
        <v>201370</v>
      </c>
      <c r="F45" s="110">
        <v>0</v>
      </c>
      <c r="G45" s="110">
        <f>Tableau9[[#This Row],[Charge]]+Tableau9[[#This Row],[Versement]]-Tableau9[[#This Row],[T. Logiciel]]</f>
        <v>-1517</v>
      </c>
      <c r="H45" s="105" t="s">
        <v>72</v>
      </c>
    </row>
    <row r="46" spans="1:8" ht="36">
      <c r="A46" s="98"/>
      <c r="B46" s="108" t="s">
        <v>30</v>
      </c>
      <c r="C46" s="109">
        <f>308475-348</f>
        <v>308127</v>
      </c>
      <c r="D46" s="110">
        <v>282022</v>
      </c>
      <c r="E46" s="110">
        <v>283022</v>
      </c>
      <c r="F46" s="110">
        <v>0</v>
      </c>
      <c r="G46" s="110">
        <f>Tableau9[[#This Row],[Charge]]+Tableau9[[#This Row],[Versement]]-Tableau9[[#This Row],[T. Logiciel]]</f>
        <v>1000</v>
      </c>
      <c r="H46" s="131" t="s">
        <v>73</v>
      </c>
    </row>
    <row r="47" spans="1:8" ht="18">
      <c r="A47" s="98"/>
      <c r="B47" s="108" t="s">
        <v>13</v>
      </c>
      <c r="C47" s="109">
        <v>132064</v>
      </c>
      <c r="D47" s="110">
        <v>123534</v>
      </c>
      <c r="E47" s="110">
        <v>120990</v>
      </c>
      <c r="F47" s="110">
        <v>2500</v>
      </c>
      <c r="G47" s="110">
        <f>Tableau9[[#This Row],[Charge]]+Tableau9[[#This Row],[Versement]]-Tableau9[[#This Row],[T. Logiciel]]</f>
        <v>-44</v>
      </c>
      <c r="H47" s="105" t="s">
        <v>74</v>
      </c>
    </row>
    <row r="48" spans="1:8" ht="18.600000000000001" thickBot="1">
      <c r="A48" s="125"/>
      <c r="B48" s="118" t="s">
        <v>11</v>
      </c>
      <c r="C48" s="122">
        <v>97164</v>
      </c>
      <c r="D48" s="119">
        <v>97164</v>
      </c>
      <c r="E48" s="119">
        <v>97095</v>
      </c>
      <c r="F48" s="119">
        <v>0</v>
      </c>
      <c r="G48" s="119">
        <f>Tableau9[[#This Row],[Charge]]+Tableau9[[#This Row],[Versement]]-Tableau9[[#This Row],[T. Logiciel]]</f>
        <v>-69</v>
      </c>
      <c r="H48" s="126"/>
    </row>
    <row r="49" spans="1:8" ht="18.600000000000001" thickTop="1">
      <c r="A49" s="127">
        <v>45917</v>
      </c>
      <c r="B49" s="108" t="s">
        <v>59</v>
      </c>
      <c r="C49" s="109"/>
      <c r="D49" s="110">
        <v>127078</v>
      </c>
      <c r="E49" s="110"/>
      <c r="F49" s="110">
        <v>0</v>
      </c>
      <c r="G49" s="129">
        <f>Tableau9[[#This Row],[Charge]]+Tableau9[[#This Row],[Versement]]-Tableau9[[#This Row],[T. Logiciel]]</f>
        <v>-127078</v>
      </c>
      <c r="H49" s="207"/>
    </row>
    <row r="50" spans="1:8" ht="18">
      <c r="A50" s="108"/>
      <c r="B50" s="108" t="s">
        <v>16</v>
      </c>
      <c r="C50" s="109">
        <v>156078</v>
      </c>
      <c r="D50" s="110">
        <v>156078</v>
      </c>
      <c r="E50" s="110">
        <v>156155</v>
      </c>
      <c r="F50" s="110">
        <v>0</v>
      </c>
      <c r="G50" s="130">
        <f>Tableau9[[#This Row],[Charge]]+Tableau9[[#This Row],[Versement]]-Tableau9[[#This Row],[T. Logiciel]]</f>
        <v>77</v>
      </c>
      <c r="H50" s="133"/>
    </row>
    <row r="51" spans="1:8" ht="18">
      <c r="A51" s="108"/>
      <c r="B51" s="108" t="s">
        <v>11</v>
      </c>
      <c r="C51" s="109">
        <v>134282</v>
      </c>
      <c r="D51" s="110">
        <v>128902</v>
      </c>
      <c r="E51" s="110">
        <f>128035</f>
        <v>128035</v>
      </c>
      <c r="F51" s="110">
        <v>800</v>
      </c>
      <c r="G51" s="130">
        <f>Tableau9[[#This Row],[Charge]]+Tableau9[[#This Row],[Versement]]-Tableau9[[#This Row],[T. Logiciel]]</f>
        <v>-67</v>
      </c>
      <c r="H51" s="133" t="s">
        <v>75</v>
      </c>
    </row>
    <row r="52" spans="1:8" ht="18.600000000000001" thickBot="1">
      <c r="A52" s="118"/>
      <c r="B52" s="118" t="s">
        <v>34</v>
      </c>
      <c r="C52" s="122">
        <v>123157</v>
      </c>
      <c r="D52" s="119">
        <v>118897</v>
      </c>
      <c r="E52" s="119">
        <f>118590+270</f>
        <v>118860</v>
      </c>
      <c r="F52" s="119">
        <v>0</v>
      </c>
      <c r="G52" s="119">
        <f>Tableau9[[#This Row],[Charge]]+Tableau9[[#This Row],[Versement]]-Tableau9[[#This Row],[T. Logiciel]]</f>
        <v>-37</v>
      </c>
      <c r="H52" s="135" t="s">
        <v>76</v>
      </c>
    </row>
    <row r="53" spans="1:8" ht="18.600000000000001" thickTop="1">
      <c r="A53" s="132">
        <v>45918</v>
      </c>
      <c r="B53" s="128" t="s">
        <v>59</v>
      </c>
      <c r="C53" s="220"/>
      <c r="D53" s="130">
        <v>0</v>
      </c>
      <c r="E53" s="130">
        <f>2315+127078+7</f>
        <v>129400</v>
      </c>
      <c r="F53" s="130">
        <v>0</v>
      </c>
      <c r="G53" s="130">
        <f>Tableau9[[#This Row],[Charge]]+Tableau9[[#This Row],[Versement]]-Tableau9[[#This Row],[T. Logiciel]]</f>
        <v>129400</v>
      </c>
      <c r="H53" s="133" t="s">
        <v>77</v>
      </c>
    </row>
    <row r="54" spans="1:8" ht="18">
      <c r="A54" s="128"/>
      <c r="B54" s="128" t="s">
        <v>11</v>
      </c>
      <c r="C54" s="220">
        <v>419776</v>
      </c>
      <c r="D54" s="130">
        <v>414926</v>
      </c>
      <c r="E54" s="130">
        <v>413710</v>
      </c>
      <c r="F54" s="130">
        <v>500</v>
      </c>
      <c r="G54" s="130">
        <f>Tableau9[[#This Row],[Charge]]+Tableau9[[#This Row],[Versement]]-Tableau9[[#This Row],[T. Logiciel]]</f>
        <v>-716</v>
      </c>
      <c r="H54" s="134" t="s">
        <v>78</v>
      </c>
    </row>
    <row r="55" spans="1:8" ht="18">
      <c r="A55" s="128"/>
      <c r="B55" s="128" t="s">
        <v>30</v>
      </c>
      <c r="C55" s="220">
        <v>376912</v>
      </c>
      <c r="D55" s="130">
        <v>362292</v>
      </c>
      <c r="E55" s="130">
        <f>180172</f>
        <v>180172</v>
      </c>
      <c r="F55" s="130">
        <v>0</v>
      </c>
      <c r="G55" s="130">
        <f>Tableau9[[#This Row],[Charge]]+Tableau9[[#This Row],[Versement]]-Tableau9[[#This Row],[T. Logiciel]]</f>
        <v>-182120</v>
      </c>
      <c r="H55" s="134" t="s">
        <v>79</v>
      </c>
    </row>
    <row r="56" spans="1:8" ht="18.600000000000001" thickBot="1">
      <c r="A56" s="118"/>
      <c r="B56" s="118" t="s">
        <v>13</v>
      </c>
      <c r="C56" s="122">
        <v>160562</v>
      </c>
      <c r="D56" s="119">
        <v>149407</v>
      </c>
      <c r="E56" s="119">
        <f>149407-2500-50</f>
        <v>146857</v>
      </c>
      <c r="F56" s="119">
        <v>2500</v>
      </c>
      <c r="G56" s="119">
        <f>Tableau9[[#This Row],[Charge]]+Tableau9[[#This Row],[Versement]]-Tableau9[[#This Row],[T. Logiciel]]</f>
        <v>-50</v>
      </c>
      <c r="H56" s="135" t="s">
        <v>80</v>
      </c>
    </row>
    <row r="57" spans="1:8" ht="18.600000000000001" thickTop="1">
      <c r="A57" s="132">
        <v>45920</v>
      </c>
      <c r="B57" s="128" t="s">
        <v>59</v>
      </c>
      <c r="C57" s="220"/>
      <c r="D57" s="130">
        <v>212911</v>
      </c>
      <c r="E57" s="130">
        <v>160000</v>
      </c>
      <c r="F57" s="130">
        <v>0</v>
      </c>
      <c r="G57" s="130">
        <f>Tableau9[[#This Row],[Charge]]+Tableau9[[#This Row],[Versement]]-Tableau9[[#This Row],[T. Logiciel]]</f>
        <v>-52911</v>
      </c>
      <c r="H57" s="134" t="s">
        <v>81</v>
      </c>
    </row>
    <row r="58" spans="1:8" ht="18">
      <c r="A58" s="128"/>
      <c r="B58" s="128" t="s">
        <v>11</v>
      </c>
      <c r="C58" s="220">
        <v>191897</v>
      </c>
      <c r="D58" s="130">
        <v>190977</v>
      </c>
      <c r="E58" s="130">
        <v>185900</v>
      </c>
      <c r="F58" s="130">
        <v>5000</v>
      </c>
      <c r="G58" s="130">
        <f>Tableau9[[#This Row],[Charge]]+Tableau9[[#This Row],[Versement]]-Tableau9[[#This Row],[T. Logiciel]]</f>
        <v>-77</v>
      </c>
      <c r="H58" s="134" t="s">
        <v>82</v>
      </c>
    </row>
    <row r="59" spans="1:8" ht="18">
      <c r="A59" s="128"/>
      <c r="B59" s="128" t="s">
        <v>30</v>
      </c>
      <c r="C59" s="220">
        <v>248964</v>
      </c>
      <c r="D59" s="130">
        <v>240899</v>
      </c>
      <c r="E59" s="130">
        <f>250770-9850</f>
        <v>240920</v>
      </c>
      <c r="F59" s="130">
        <v>0</v>
      </c>
      <c r="G59" s="130">
        <f>Tableau9[[#This Row],[Charge]]+Tableau9[[#This Row],[Versement]]-Tableau9[[#This Row],[T. Logiciel]]</f>
        <v>21</v>
      </c>
      <c r="H59" s="134" t="s">
        <v>83</v>
      </c>
    </row>
    <row r="60" spans="1:8" ht="18.600000000000001" thickBot="1">
      <c r="A60" s="118"/>
      <c r="B60" s="118" t="s">
        <v>13</v>
      </c>
      <c r="C60" s="122">
        <v>145850</v>
      </c>
      <c r="D60" s="119">
        <v>139770</v>
      </c>
      <c r="E60" s="119">
        <f>127875+11895</f>
        <v>139770</v>
      </c>
      <c r="F60" s="119">
        <v>0</v>
      </c>
      <c r="G60" s="119">
        <f>Tableau9[[#This Row],[Charge]]+Tableau9[[#This Row],[Versement]]-Tableau9[[#This Row],[T. Logiciel]]</f>
        <v>0</v>
      </c>
      <c r="H60" s="136" t="s">
        <v>84</v>
      </c>
    </row>
    <row r="61" spans="1:8" ht="18.600000000000001" thickTop="1">
      <c r="A61" s="132">
        <v>45921</v>
      </c>
      <c r="B61" s="220" t="s">
        <v>59</v>
      </c>
      <c r="C61" s="108"/>
      <c r="D61" s="220">
        <v>210178</v>
      </c>
      <c r="E61" s="130">
        <v>261100</v>
      </c>
      <c r="F61" s="130">
        <v>0</v>
      </c>
      <c r="G61" s="130">
        <f>Tableau9[[#This Row],[Charge]]+Tableau9[[#This Row],[Versement]]-Tableau9[[#This Row],[T. Logiciel]]</f>
        <v>50922</v>
      </c>
      <c r="H61" s="134" t="s">
        <v>85</v>
      </c>
    </row>
    <row r="62" spans="1:8" ht="18">
      <c r="A62" s="128"/>
      <c r="B62" s="220" t="s">
        <v>13</v>
      </c>
      <c r="C62" s="220">
        <v>211430</v>
      </c>
      <c r="D62" s="130">
        <v>194280</v>
      </c>
      <c r="E62" s="130">
        <v>194255</v>
      </c>
      <c r="F62" s="130">
        <v>0</v>
      </c>
      <c r="G62" s="130">
        <f>Tableau9[[#This Row],[Charge]]+Tableau9[[#This Row],[Versement]]-Tableau9[[#This Row],[T. Logiciel]]</f>
        <v>-25</v>
      </c>
      <c r="H62" s="134" t="s">
        <v>86</v>
      </c>
    </row>
    <row r="63" spans="1:8" ht="18.600000000000001" thickBot="1">
      <c r="A63" s="118"/>
      <c r="B63" s="122" t="s">
        <v>11</v>
      </c>
      <c r="C63" s="122">
        <v>299938</v>
      </c>
      <c r="D63" s="119">
        <v>294208</v>
      </c>
      <c r="E63" s="119">
        <f>294200-1300</f>
        <v>292900</v>
      </c>
      <c r="F63" s="119">
        <v>1300</v>
      </c>
      <c r="G63" s="119">
        <f>Tableau9[[#This Row],[Charge]]+Tableau9[[#This Row],[Versement]]-Tableau9[[#This Row],[T. Logiciel]]</f>
        <v>-8</v>
      </c>
      <c r="H63" s="135" t="s">
        <v>87</v>
      </c>
    </row>
    <row r="64" spans="1:8" ht="18.600000000000001" thickTop="1">
      <c r="A64" s="132">
        <v>45922</v>
      </c>
      <c r="B64" s="220" t="s">
        <v>59</v>
      </c>
      <c r="C64" s="220"/>
      <c r="D64" s="130">
        <v>206388</v>
      </c>
      <c r="E64" s="130">
        <f>208380-8300</f>
        <v>200080</v>
      </c>
      <c r="F64" s="130">
        <v>8300</v>
      </c>
      <c r="G64" s="130">
        <f>Tableau9[[#This Row],[Charge]]+Tableau9[[#This Row],[Versement]]-Tableau9[[#This Row],[T. Logiciel]]</f>
        <v>1992</v>
      </c>
      <c r="H64" s="134" t="s">
        <v>88</v>
      </c>
    </row>
    <row r="65" spans="1:8" ht="18">
      <c r="A65" s="128"/>
      <c r="B65" s="220" t="s">
        <v>13</v>
      </c>
      <c r="C65" s="220">
        <v>199287</v>
      </c>
      <c r="D65" s="130">
        <v>176396</v>
      </c>
      <c r="E65" s="130">
        <v>176325</v>
      </c>
      <c r="F65" s="130"/>
      <c r="G65" s="130">
        <f>Tableau9[[#This Row],[Charge]]+Tableau9[[#This Row],[Versement]]-Tableau9[[#This Row],[T. Logiciel]]</f>
        <v>-71</v>
      </c>
      <c r="H65" s="134"/>
    </row>
    <row r="66" spans="1:8" ht="18">
      <c r="A66" s="128"/>
      <c r="B66" s="220" t="s">
        <v>30</v>
      </c>
      <c r="C66" s="220">
        <v>161600</v>
      </c>
      <c r="D66" s="130">
        <v>161600</v>
      </c>
      <c r="E66" s="130">
        <f>161600</f>
        <v>161600</v>
      </c>
      <c r="F66" s="130">
        <v>0</v>
      </c>
      <c r="G66" s="130">
        <f>Tableau9[[#This Row],[Charge]]+Tableau9[[#This Row],[Versement]]-Tableau9[[#This Row],[T. Logiciel]]</f>
        <v>0</v>
      </c>
      <c r="H66" s="134"/>
    </row>
    <row r="67" spans="1:8" ht="36.6" thickBot="1">
      <c r="A67" s="118"/>
      <c r="B67" s="122" t="s">
        <v>11</v>
      </c>
      <c r="C67" s="122">
        <v>80508</v>
      </c>
      <c r="D67" s="119">
        <v>68998</v>
      </c>
      <c r="E67" s="119">
        <f>68970-2000-1200-1200</f>
        <v>64570</v>
      </c>
      <c r="F67" s="119">
        <f>1200+2000+1200</f>
        <v>4400</v>
      </c>
      <c r="G67" s="119">
        <f>Tableau9[[#This Row],[Charge]]+Tableau9[[#This Row],[Versement]]-Tableau9[[#This Row],[T. Logiciel]]</f>
        <v>-28</v>
      </c>
      <c r="H67" s="135" t="s">
        <v>89</v>
      </c>
    </row>
    <row r="68" spans="1:8" ht="18.600000000000001" thickTop="1">
      <c r="A68" s="132">
        <v>45923</v>
      </c>
      <c r="B68" s="220" t="s">
        <v>59</v>
      </c>
      <c r="C68" s="220">
        <v>0</v>
      </c>
      <c r="D68" s="130">
        <v>181912</v>
      </c>
      <c r="E68" s="130">
        <v>182000</v>
      </c>
      <c r="F68" s="130">
        <v>0</v>
      </c>
      <c r="G68" s="130">
        <f>Tableau9[[#This Row],[Charge]]+Tableau9[[#This Row],[Versement]]-Tableau9[[#This Row],[T. Logiciel]]</f>
        <v>88</v>
      </c>
      <c r="H68" s="134"/>
    </row>
    <row r="69" spans="1:8" ht="18">
      <c r="A69" s="128"/>
      <c r="B69" s="220" t="s">
        <v>11</v>
      </c>
      <c r="C69" s="220">
        <v>148946</v>
      </c>
      <c r="D69" s="130">
        <v>160456</v>
      </c>
      <c r="E69" s="130">
        <v>155420</v>
      </c>
      <c r="F69" s="130">
        <v>5000</v>
      </c>
      <c r="G69" s="130">
        <f>Tableau9[[#This Row],[Charge]]+Tableau9[[#This Row],[Versement]]-Tableau9[[#This Row],[T. Logiciel]]</f>
        <v>-36</v>
      </c>
      <c r="H69" s="134" t="s">
        <v>90</v>
      </c>
    </row>
    <row r="70" spans="1:8" ht="18">
      <c r="A70" s="128"/>
      <c r="B70" s="220" t="s">
        <v>30</v>
      </c>
      <c r="C70" s="220">
        <v>222800</v>
      </c>
      <c r="D70" s="130">
        <v>222235</v>
      </c>
      <c r="E70" s="130">
        <f>221795-200</f>
        <v>221595</v>
      </c>
      <c r="F70" s="130">
        <v>0</v>
      </c>
      <c r="G70" s="130">
        <f>Tableau9[[#This Row],[Charge]]+Tableau9[[#This Row],[Versement]]-Tableau9[[#This Row],[T. Logiciel]]</f>
        <v>-640</v>
      </c>
      <c r="H70" s="134" t="s">
        <v>91</v>
      </c>
    </row>
    <row r="71" spans="1:8" ht="18.600000000000001" thickBot="1">
      <c r="A71" s="118"/>
      <c r="B71" s="122" t="s">
        <v>13</v>
      </c>
      <c r="C71" s="122">
        <v>112228</v>
      </c>
      <c r="D71" s="119">
        <v>110928</v>
      </c>
      <c r="E71" s="119">
        <v>110455</v>
      </c>
      <c r="F71" s="119">
        <v>400</v>
      </c>
      <c r="G71" s="119">
        <f>Tableau9[[#This Row],[Charge]]+Tableau9[[#This Row],[Versement]]-Tableau9[[#This Row],[T. Logiciel]]</f>
        <v>-73</v>
      </c>
      <c r="H71" s="135" t="s">
        <v>92</v>
      </c>
    </row>
    <row r="72" spans="1:8" ht="18.600000000000001" thickTop="1">
      <c r="A72" s="132">
        <v>45924</v>
      </c>
      <c r="B72" s="220" t="s">
        <v>59</v>
      </c>
      <c r="C72" s="220"/>
      <c r="D72" s="130">
        <v>164011</v>
      </c>
      <c r="E72" s="130">
        <f>163900-1100-700</f>
        <v>162100</v>
      </c>
      <c r="F72" s="130">
        <f>1100+700</f>
        <v>1800</v>
      </c>
      <c r="G72" s="130">
        <f>Tableau9[[#This Row],[Charge]]+Tableau9[[#This Row],[Versement]]-Tableau9[[#This Row],[T. Logiciel]]</f>
        <v>-111</v>
      </c>
      <c r="H72" s="134" t="s">
        <v>93</v>
      </c>
    </row>
    <row r="73" spans="1:8" ht="18">
      <c r="A73" s="128"/>
      <c r="B73" s="220" t="s">
        <v>11</v>
      </c>
      <c r="C73" s="220">
        <v>157200</v>
      </c>
      <c r="D73" s="130">
        <v>155430</v>
      </c>
      <c r="E73" s="130">
        <v>150425</v>
      </c>
      <c r="F73" s="130">
        <v>5000</v>
      </c>
      <c r="G73" s="130">
        <f>Tableau9[[#This Row],[Charge]]+Tableau9[[#This Row],[Versement]]-Tableau9[[#This Row],[T. Logiciel]]</f>
        <v>-5</v>
      </c>
      <c r="H73" s="134" t="s">
        <v>94</v>
      </c>
    </row>
    <row r="74" spans="1:8" ht="18">
      <c r="A74" s="128"/>
      <c r="B74" s="220" t="s">
        <v>13</v>
      </c>
      <c r="C74" s="220">
        <f>130993+96000</f>
        <v>226993</v>
      </c>
      <c r="D74" s="130">
        <f>181685+23750</f>
        <v>205435</v>
      </c>
      <c r="E74" s="130">
        <v>204590</v>
      </c>
      <c r="F74" s="130">
        <v>750</v>
      </c>
      <c r="G74" s="130">
        <f>Tableau9[[#This Row],[Charge]]+Tableau9[[#This Row],[Versement]]-Tableau9[[#This Row],[T. Logiciel]]</f>
        <v>-95</v>
      </c>
      <c r="H74" s="134" t="s">
        <v>95</v>
      </c>
    </row>
    <row r="75" spans="1:8" ht="18.600000000000001" thickBot="1">
      <c r="A75" s="118"/>
      <c r="B75" s="122" t="s">
        <v>30</v>
      </c>
      <c r="C75" s="122"/>
      <c r="D75" s="119">
        <f>169275-23750</f>
        <v>145525</v>
      </c>
      <c r="E75" s="119">
        <f>169275-23750-1800-14000</f>
        <v>129725</v>
      </c>
      <c r="F75" s="119">
        <f>1800+14000</f>
        <v>15800</v>
      </c>
      <c r="G75" s="119">
        <f>Tableau9[[#This Row],[Charge]]+Tableau9[[#This Row],[Versement]]-Tableau9[[#This Row],[T. Logiciel]]</f>
        <v>0</v>
      </c>
      <c r="H75" s="135" t="s">
        <v>96</v>
      </c>
    </row>
    <row r="76" spans="1:8" ht="18.600000000000001" thickTop="1">
      <c r="A76" s="132">
        <v>45925</v>
      </c>
      <c r="B76" s="220" t="s">
        <v>59</v>
      </c>
      <c r="C76" s="220"/>
      <c r="D76" s="130">
        <v>189578</v>
      </c>
      <c r="E76" s="130">
        <v>189570</v>
      </c>
      <c r="F76" s="130">
        <v>0</v>
      </c>
      <c r="G76" s="130">
        <f>Tableau9[[#This Row],[Charge]]+Tableau9[[#This Row],[Versement]]-Tableau9[[#This Row],[T. Logiciel]]</f>
        <v>-8</v>
      </c>
      <c r="H76" s="134"/>
    </row>
    <row r="77" spans="1:8" ht="18">
      <c r="A77" s="128"/>
      <c r="B77" s="220" t="s">
        <v>13</v>
      </c>
      <c r="C77" s="220">
        <v>142466</v>
      </c>
      <c r="D77" s="130">
        <v>142466</v>
      </c>
      <c r="E77" s="130">
        <v>142480</v>
      </c>
      <c r="F77" s="130">
        <v>0</v>
      </c>
      <c r="G77" s="130">
        <f>Tableau9[[#This Row],[Charge]]+Tableau9[[#This Row],[Versement]]-Tableau9[[#This Row],[T. Logiciel]]</f>
        <v>14</v>
      </c>
      <c r="H77" s="134"/>
    </row>
    <row r="78" spans="1:8" ht="36">
      <c r="A78" s="128"/>
      <c r="B78" s="220" t="s">
        <v>11</v>
      </c>
      <c r="C78" s="220">
        <v>186011</v>
      </c>
      <c r="D78" s="130">
        <f>186011-14040</f>
        <v>171971</v>
      </c>
      <c r="E78" s="130">
        <v>166960</v>
      </c>
      <c r="F78" s="130">
        <v>5000</v>
      </c>
      <c r="G78" s="130">
        <f>Tableau9[[#This Row],[Charge]]+Tableau9[[#This Row],[Versement]]-Tableau9[[#This Row],[T. Logiciel]]</f>
        <v>-11</v>
      </c>
      <c r="H78" s="134" t="s">
        <v>97</v>
      </c>
    </row>
    <row r="79" spans="1:8" ht="18.600000000000001" thickBot="1">
      <c r="A79" s="118"/>
      <c r="B79" s="122" t="s">
        <v>30</v>
      </c>
      <c r="C79" s="122">
        <v>157305</v>
      </c>
      <c r="D79" s="119">
        <v>155145</v>
      </c>
      <c r="E79" s="221">
        <v>155150</v>
      </c>
      <c r="F79" s="119">
        <v>0</v>
      </c>
      <c r="G79" s="119">
        <f>Tableau9[[#This Row],[Charge]]+Tableau9[[#This Row],[Versement]]-Tableau9[[#This Row],[T. Logiciel]]</f>
        <v>5</v>
      </c>
      <c r="H79" s="135" t="s">
        <v>98</v>
      </c>
    </row>
    <row r="80" spans="1:8" ht="18.600000000000001" thickTop="1">
      <c r="A80" s="132">
        <v>45927</v>
      </c>
      <c r="B80" s="220" t="s">
        <v>59</v>
      </c>
      <c r="C80" s="220"/>
      <c r="D80" s="130">
        <v>129879</v>
      </c>
      <c r="E80" s="130">
        <f>129180-180</f>
        <v>129000</v>
      </c>
      <c r="F80" s="130">
        <v>180</v>
      </c>
      <c r="G80" s="130">
        <f>Tableau9[[#This Row],[Charge]]+Tableau9[[#This Row],[Versement]]-Tableau9[[#This Row],[T. Logiciel]]</f>
        <v>-699</v>
      </c>
      <c r="H80" s="134" t="s">
        <v>99</v>
      </c>
    </row>
    <row r="81" spans="1:8" ht="36">
      <c r="A81" s="128"/>
      <c r="B81" s="220" t="s">
        <v>30</v>
      </c>
      <c r="C81" s="220">
        <v>411305</v>
      </c>
      <c r="D81" s="130">
        <v>344277</v>
      </c>
      <c r="E81" s="130">
        <f>344277-6000+200</f>
        <v>338477</v>
      </c>
      <c r="F81" s="130">
        <v>6000</v>
      </c>
      <c r="G81" s="130">
        <f>Tableau9[[#This Row],[Charge]]+Tableau9[[#This Row],[Versement]]-Tableau9[[#This Row],[T. Logiciel]]</f>
        <v>200</v>
      </c>
      <c r="H81" s="134" t="s">
        <v>100</v>
      </c>
    </row>
    <row r="82" spans="1:8" ht="18">
      <c r="A82" s="128"/>
      <c r="B82" s="220" t="s">
        <v>13</v>
      </c>
      <c r="C82" s="220">
        <v>162955</v>
      </c>
      <c r="D82" s="130">
        <v>157150</v>
      </c>
      <c r="E82" s="130">
        <v>133600</v>
      </c>
      <c r="F82" s="130">
        <v>5900</v>
      </c>
      <c r="G82" s="130">
        <f>Tableau9[[#This Row],[Charge]]+Tableau9[[#This Row],[Versement]]-Tableau9[[#This Row],[T. Logiciel]]</f>
        <v>-17650</v>
      </c>
      <c r="H82" s="134" t="s">
        <v>101</v>
      </c>
    </row>
    <row r="83" spans="1:8" ht="18.600000000000001" thickBot="1">
      <c r="A83" s="118"/>
      <c r="B83" s="122" t="s">
        <v>11</v>
      </c>
      <c r="C83" s="122">
        <f>146609+67770</f>
        <v>214379</v>
      </c>
      <c r="D83" s="119">
        <v>214380</v>
      </c>
      <c r="E83" s="119">
        <f>141580+67770</f>
        <v>209350</v>
      </c>
      <c r="F83" s="119">
        <v>5000</v>
      </c>
      <c r="G83" s="119">
        <f>Tableau9[[#This Row],[Charge]]+Tableau9[[#This Row],[Versement]]-Tableau9[[#This Row],[T. Logiciel]]</f>
        <v>-30</v>
      </c>
      <c r="H83" s="135" t="s">
        <v>102</v>
      </c>
    </row>
    <row r="84" spans="1:8" ht="36.6" thickTop="1">
      <c r="A84" s="222">
        <v>45928</v>
      </c>
      <c r="B84" s="128" t="s">
        <v>59</v>
      </c>
      <c r="C84" s="223"/>
      <c r="D84" s="223">
        <v>169320</v>
      </c>
      <c r="E84" s="223">
        <f>170020-6000</f>
        <v>164020</v>
      </c>
      <c r="F84" s="223">
        <v>6000</v>
      </c>
      <c r="G84" s="224">
        <f>Tableau9[[#This Row],[Charge]]+Tableau9[[#This Row],[Versement]]-Tableau9[[#This Row],[T. Logiciel]]</f>
        <v>700</v>
      </c>
      <c r="H84" s="134" t="s">
        <v>103</v>
      </c>
    </row>
    <row r="85" spans="1:8" ht="18">
      <c r="A85" s="128"/>
      <c r="B85" s="128" t="s">
        <v>13</v>
      </c>
      <c r="C85" s="223">
        <f>195349+33034+31854</f>
        <v>260237</v>
      </c>
      <c r="D85" s="223">
        <v>260237</v>
      </c>
      <c r="E85" s="223">
        <v>246785</v>
      </c>
      <c r="F85" s="223"/>
      <c r="G85" s="224">
        <f>Tableau9[[#This Row],[Charge]]+Tableau9[[#This Row],[Versement]]-Tableau9[[#This Row],[T. Logiciel]]</f>
        <v>-13452</v>
      </c>
      <c r="H85" s="134"/>
    </row>
    <row r="86" spans="1:8" ht="18">
      <c r="A86" s="128"/>
      <c r="B86" s="128" t="s">
        <v>34</v>
      </c>
      <c r="C86" s="223">
        <f>87435+183406</f>
        <v>270841</v>
      </c>
      <c r="D86" s="223">
        <f>180980+87045</f>
        <v>268025</v>
      </c>
      <c r="E86" s="223">
        <f>180980+87045</f>
        <v>268025</v>
      </c>
      <c r="F86" s="223"/>
      <c r="G86" s="224">
        <f>Tableau9[[#This Row],[Charge]]+Tableau9[[#This Row],[Versement]]-Tableau9[[#This Row],[T. Logiciel]]</f>
        <v>0</v>
      </c>
      <c r="H86" s="134" t="s">
        <v>104</v>
      </c>
    </row>
    <row r="87" spans="1:8" ht="18.600000000000001" thickBot="1">
      <c r="A87" s="118"/>
      <c r="B87" s="118" t="s">
        <v>11</v>
      </c>
      <c r="C87" s="221">
        <f>218326</f>
        <v>218326</v>
      </c>
      <c r="D87" s="221">
        <v>218325</v>
      </c>
      <c r="E87" s="221">
        <v>213315</v>
      </c>
      <c r="F87" s="221">
        <v>5000</v>
      </c>
      <c r="G87" s="150">
        <f>Tableau9[[#This Row],[Charge]]+Tableau9[[#This Row],[Versement]]-Tableau9[[#This Row],[T. Logiciel]]</f>
        <v>-10</v>
      </c>
      <c r="H87" s="135"/>
    </row>
    <row r="88" spans="1:8" ht="18.600000000000001" thickTop="1">
      <c r="A88" s="222">
        <v>45929</v>
      </c>
      <c r="B88" s="128" t="s">
        <v>59</v>
      </c>
      <c r="C88" s="223"/>
      <c r="D88" s="223">
        <v>135548</v>
      </c>
      <c r="E88" s="223">
        <f>135500</f>
        <v>135500</v>
      </c>
      <c r="F88" s="223"/>
      <c r="G88" s="224">
        <f>Tableau9[[#This Row],[Charge]]+Tableau9[[#This Row],[Versement]]-Tableau9[[#This Row],[T. Logiciel]]</f>
        <v>-48</v>
      </c>
      <c r="H88" s="134"/>
    </row>
    <row r="89" spans="1:8" ht="36">
      <c r="A89" s="222"/>
      <c r="B89" s="128" t="s">
        <v>11</v>
      </c>
      <c r="C89" s="223">
        <f>221386-172800</f>
        <v>48586</v>
      </c>
      <c r="D89" s="223">
        <f>221386-172800</f>
        <v>48586</v>
      </c>
      <c r="E89" s="223">
        <f>48570-440</f>
        <v>48130</v>
      </c>
      <c r="F89" s="223">
        <f>440</f>
        <v>440</v>
      </c>
      <c r="G89" s="224">
        <f>Tableau9[[#This Row],[Charge]]+Tableau9[[#This Row],[Versement]]-Tableau9[[#This Row],[T. Logiciel]]</f>
        <v>-16</v>
      </c>
      <c r="H89" s="134" t="s">
        <v>105</v>
      </c>
    </row>
    <row r="90" spans="1:8" ht="36">
      <c r="A90" s="222"/>
      <c r="B90" s="128" t="s">
        <v>13</v>
      </c>
      <c r="C90" s="223">
        <v>185314</v>
      </c>
      <c r="D90" s="223">
        <v>181835</v>
      </c>
      <c r="E90" s="223">
        <f>168670</f>
        <v>168670</v>
      </c>
      <c r="F90" s="223"/>
      <c r="G90" s="224">
        <f>Tableau9[[#This Row],[Charge]]+Tableau9[[#This Row],[Versement]]-Tableau9[[#This Row],[T. Logiciel]]</f>
        <v>-13165</v>
      </c>
      <c r="H90" s="134" t="s">
        <v>106</v>
      </c>
    </row>
    <row r="91" spans="1:8" ht="18.600000000000001" thickBot="1">
      <c r="A91" s="225"/>
      <c r="B91" s="118" t="s">
        <v>30</v>
      </c>
      <c r="C91" s="221">
        <v>168635</v>
      </c>
      <c r="D91" s="221">
        <f>213653-33034-31854</f>
        <v>148765</v>
      </c>
      <c r="E91" s="221">
        <f>125180</f>
        <v>125180</v>
      </c>
      <c r="F91" s="221"/>
      <c r="G91" s="150">
        <f>Tableau9[[#This Row],[Charge]]+Tableau9[[#This Row],[Versement]]-Tableau9[[#This Row],[T. Logiciel]]</f>
        <v>-23585</v>
      </c>
      <c r="H91" s="135" t="s">
        <v>107</v>
      </c>
    </row>
    <row r="92" spans="1:8" ht="18.600000000000001" thickTop="1">
      <c r="A92" s="222">
        <v>45930</v>
      </c>
      <c r="B92" s="128" t="s">
        <v>59</v>
      </c>
      <c r="C92" s="128"/>
      <c r="D92" s="223">
        <f>142876-3120</f>
        <v>139756</v>
      </c>
      <c r="E92" s="223">
        <v>140000</v>
      </c>
      <c r="F92" s="223"/>
      <c r="G92" s="224">
        <f>Tableau9[[#This Row],[Charge]]+Tableau9[[#This Row],[Versement]]-Tableau9[[#This Row],[T. Logiciel]]</f>
        <v>244</v>
      </c>
      <c r="H92" s="134"/>
    </row>
    <row r="93" spans="1:8" ht="18">
      <c r="A93" s="222"/>
      <c r="B93" s="128" t="s">
        <v>13</v>
      </c>
      <c r="C93" s="223">
        <v>190118</v>
      </c>
      <c r="D93" s="223">
        <v>185153</v>
      </c>
      <c r="E93" s="223">
        <v>185030</v>
      </c>
      <c r="F93" s="223">
        <v>30</v>
      </c>
      <c r="G93" s="224">
        <f>Tableau9[[#This Row],[Charge]]+Tableau9[[#This Row],[Versement]]-Tableau9[[#This Row],[T. Logiciel]]</f>
        <v>-93</v>
      </c>
      <c r="H93" s="134" t="s">
        <v>108</v>
      </c>
    </row>
    <row r="94" spans="1:8" ht="36">
      <c r="A94" s="222"/>
      <c r="B94" s="128" t="s">
        <v>30</v>
      </c>
      <c r="C94" s="152">
        <v>164106</v>
      </c>
      <c r="D94" s="223">
        <v>163456</v>
      </c>
      <c r="E94" s="223">
        <f>135305</f>
        <v>135305</v>
      </c>
      <c r="F94" s="223"/>
      <c r="G94" s="224">
        <f>Tableau9[[#This Row],[Charge]]+Tableau9[[#This Row],[Versement]]-Tableau9[[#This Row],[T. Logiciel]]</f>
        <v>-28151</v>
      </c>
      <c r="H94" s="134" t="s">
        <v>109</v>
      </c>
    </row>
    <row r="95" spans="1:8" ht="18.600000000000001" thickBot="1">
      <c r="A95" s="222"/>
      <c r="B95" s="128" t="s">
        <v>11</v>
      </c>
      <c r="C95" s="223">
        <v>103832</v>
      </c>
      <c r="D95" s="223">
        <v>82152</v>
      </c>
      <c r="E95" s="223">
        <f>74130-14000</f>
        <v>60130</v>
      </c>
      <c r="F95" s="223">
        <f>8000+14000</f>
        <v>22000</v>
      </c>
      <c r="G95" s="224">
        <f>Tableau9[[#This Row],[Charge]]+Tableau9[[#This Row],[Versement]]-Tableau9[[#This Row],[T. Logiciel]]</f>
        <v>-22</v>
      </c>
      <c r="H95" s="134" t="s">
        <v>110</v>
      </c>
    </row>
    <row r="96" spans="1:8" ht="19.2" thickTop="1" thickBot="1">
      <c r="A96" s="226" t="s">
        <v>9</v>
      </c>
      <c r="B96" s="227">
        <f>SUBTOTAL(103,Tableau9[Livreur])</f>
        <v>92</v>
      </c>
      <c r="C96" s="227"/>
      <c r="D96" s="228">
        <f>SUBTOTAL(109,Tableau9[T. Logiciel])</f>
        <v>15883972</v>
      </c>
      <c r="E96" s="228">
        <f>SUBTOTAL(109,Tableau9[Versement])</f>
        <v>15403502</v>
      </c>
      <c r="F96" s="228">
        <f>SUBTOTAL(109,Tableau9[Charge])</f>
        <v>176860</v>
      </c>
      <c r="G96" s="228">
        <f>SUBTOTAL(109,Tableau9[Différence])</f>
        <v>-303610</v>
      </c>
      <c r="H96" s="229"/>
    </row>
    <row r="97" spans="1:8" ht="18.600000000000001" thickTop="1">
      <c r="A97" s="128"/>
      <c r="B97" s="128"/>
      <c r="C97" s="128"/>
      <c r="D97" s="220"/>
      <c r="E97" s="220"/>
      <c r="F97" s="220"/>
      <c r="G97" s="220"/>
      <c r="H97" s="128"/>
    </row>
    <row r="98" spans="1:8" ht="18">
      <c r="A98" s="128"/>
      <c r="B98" s="128"/>
      <c r="C98" s="128"/>
      <c r="D98" s="220"/>
      <c r="E98" s="220"/>
      <c r="F98" s="220"/>
      <c r="G98" s="220"/>
      <c r="H98" s="128"/>
    </row>
    <row r="99" spans="1:8" ht="17.399999999999999">
      <c r="A99" s="139" t="s">
        <v>111</v>
      </c>
      <c r="B99" s="139" t="s">
        <v>40</v>
      </c>
      <c r="C99" s="207"/>
      <c r="D99" s="139" t="s">
        <v>111</v>
      </c>
      <c r="E99" s="139" t="s">
        <v>40</v>
      </c>
      <c r="F99" s="95"/>
      <c r="G99" s="95"/>
      <c r="H99" s="95"/>
    </row>
    <row r="100" spans="1:8" ht="17.399999999999999">
      <c r="A100" s="145">
        <v>45901</v>
      </c>
      <c r="B100" s="140">
        <f>E4+E5+E6+440</f>
        <v>391099</v>
      </c>
      <c r="C100" s="207"/>
      <c r="D100" s="145">
        <v>45901</v>
      </c>
      <c r="E100" s="156">
        <f>E4+E5+E6</f>
        <v>390659</v>
      </c>
      <c r="F100" s="106"/>
      <c r="G100" s="147"/>
      <c r="H100" s="207"/>
    </row>
    <row r="101" spans="1:8" ht="17.399999999999999">
      <c r="A101" s="145">
        <v>45902</v>
      </c>
      <c r="B101" s="140">
        <f>E7+E8+E9-5000+20585</f>
        <v>585705</v>
      </c>
      <c r="C101" s="207"/>
      <c r="D101" s="145">
        <v>45902</v>
      </c>
      <c r="E101" s="140">
        <f>E7+E8+E9</f>
        <v>570120</v>
      </c>
      <c r="F101" s="106"/>
      <c r="G101" s="148"/>
      <c r="H101" s="207"/>
    </row>
    <row r="102" spans="1:8" ht="17.399999999999999">
      <c r="A102" s="145">
        <v>45903</v>
      </c>
      <c r="B102" s="140">
        <f>E10+E11+E12+(144320+15045-500+725)+15000+70000+1500</f>
        <v>664332</v>
      </c>
      <c r="C102" s="207"/>
      <c r="D102" s="145">
        <v>45903</v>
      </c>
      <c r="E102" s="140">
        <f>E10+E11+E12</f>
        <v>418242</v>
      </c>
      <c r="F102" s="207"/>
      <c r="G102" s="207"/>
      <c r="H102" s="207"/>
    </row>
    <row r="103" spans="1:8" ht="17.399999999999999">
      <c r="A103" s="145">
        <v>45904</v>
      </c>
      <c r="B103" s="140">
        <f>E13+E14+E15+63350-500-2000</f>
        <v>813120</v>
      </c>
      <c r="C103" s="207"/>
      <c r="D103" s="145">
        <v>45904</v>
      </c>
      <c r="E103" s="140">
        <f>E13+E14+E15</f>
        <v>752270</v>
      </c>
      <c r="F103" s="207"/>
      <c r="G103" s="103"/>
      <c r="H103" s="207"/>
    </row>
    <row r="104" spans="1:8" ht="17.399999999999999">
      <c r="A104" s="145">
        <v>45906</v>
      </c>
      <c r="B104" s="140">
        <f>E16+E17+E18+600</f>
        <v>545050</v>
      </c>
      <c r="C104" s="207"/>
      <c r="D104" s="145">
        <v>45906</v>
      </c>
      <c r="E104" s="140">
        <f>E16+E17+E18</f>
        <v>544450</v>
      </c>
      <c r="F104" s="207"/>
      <c r="G104" s="103"/>
      <c r="H104" s="207"/>
    </row>
    <row r="105" spans="1:8" ht="17.399999999999999">
      <c r="A105" s="145">
        <v>45907</v>
      </c>
      <c r="B105" s="140">
        <f>E19+E20+E21+116620+22690+2000</f>
        <v>602845</v>
      </c>
      <c r="C105" s="207"/>
      <c r="D105" s="145">
        <v>45907</v>
      </c>
      <c r="E105" s="140">
        <f>E19+E20+E21</f>
        <v>461535</v>
      </c>
      <c r="F105" s="207"/>
      <c r="G105" s="103"/>
      <c r="H105" s="207"/>
    </row>
    <row r="106" spans="1:8" ht="17.399999999999999">
      <c r="A106" s="145">
        <v>45908</v>
      </c>
      <c r="B106" s="140">
        <f>E22+E23+E24+107770-3300</f>
        <v>523073</v>
      </c>
      <c r="C106" s="207"/>
      <c r="D106" s="145">
        <v>45908</v>
      </c>
      <c r="E106" s="140">
        <f>E22+E23+E24</f>
        <v>418603</v>
      </c>
      <c r="F106" s="207"/>
      <c r="G106" s="103"/>
      <c r="H106" s="207"/>
    </row>
    <row r="107" spans="1:8" ht="17.399999999999999">
      <c r="A107" s="145">
        <v>45909</v>
      </c>
      <c r="B107" s="140">
        <f>E25+E26+E27+150090+1000+44500</f>
        <v>712920</v>
      </c>
      <c r="C107" s="207"/>
      <c r="D107" s="145">
        <v>45909</v>
      </c>
      <c r="E107" s="140">
        <f>E25+E26+E27</f>
        <v>517330</v>
      </c>
      <c r="F107" s="207"/>
      <c r="G107" s="103"/>
      <c r="H107" s="207"/>
    </row>
    <row r="108" spans="1:8" ht="17.399999999999999">
      <c r="A108" s="145">
        <v>45910</v>
      </c>
      <c r="B108" s="140">
        <f>E28+E29+E30+132230</f>
        <v>427250</v>
      </c>
      <c r="C108" s="207"/>
      <c r="D108" s="145">
        <v>45910</v>
      </c>
      <c r="E108" s="140">
        <f>E28+E29+E30</f>
        <v>295020</v>
      </c>
      <c r="F108" s="207"/>
      <c r="G108" s="103"/>
      <c r="H108" s="207"/>
    </row>
    <row r="109" spans="1:8" ht="17.399999999999999">
      <c r="A109" s="145">
        <v>45911</v>
      </c>
      <c r="B109" s="140">
        <f>E31+E32+E33+35285-4000-1000</f>
        <v>555840</v>
      </c>
      <c r="C109" s="207"/>
      <c r="D109" s="145">
        <v>45911</v>
      </c>
      <c r="E109" s="140">
        <f>E31+E32+E33</f>
        <v>525555</v>
      </c>
      <c r="F109" s="207"/>
      <c r="G109" s="103"/>
      <c r="H109" s="207"/>
    </row>
    <row r="110" spans="1:8" ht="17.399999999999999">
      <c r="A110" s="145">
        <v>45913</v>
      </c>
      <c r="B110" s="141">
        <f>E34+E35+E36+E37</f>
        <v>646550</v>
      </c>
      <c r="C110" s="207"/>
      <c r="D110" s="145">
        <v>45913</v>
      </c>
      <c r="E110" s="141">
        <f>E35+E36+E37</f>
        <v>448320</v>
      </c>
      <c r="F110" s="207"/>
      <c r="G110" s="103"/>
      <c r="H110" s="207"/>
    </row>
    <row r="111" spans="1:8" ht="17.399999999999999">
      <c r="A111" s="145">
        <v>45914</v>
      </c>
      <c r="B111" s="140">
        <f>E38+E39+E40</f>
        <v>576775</v>
      </c>
      <c r="C111" s="207"/>
      <c r="D111" s="145">
        <v>45914</v>
      </c>
      <c r="E111" s="140">
        <f>E39+E40</f>
        <v>428775</v>
      </c>
      <c r="F111" s="207"/>
      <c r="G111" s="103"/>
      <c r="H111" s="207"/>
    </row>
    <row r="112" spans="1:8" ht="17.399999999999999">
      <c r="A112" s="145">
        <v>45915</v>
      </c>
      <c r="B112" s="140">
        <f>E41+E42+E43+E44-185000</f>
        <v>377320</v>
      </c>
      <c r="C112" s="207"/>
      <c r="D112" s="145">
        <v>45915</v>
      </c>
      <c r="E112" s="140">
        <f>E42+E43+E44</f>
        <v>377245</v>
      </c>
      <c r="F112" s="207"/>
      <c r="G112" s="103"/>
      <c r="H112" s="207"/>
    </row>
    <row r="113" spans="1:7" ht="17.399999999999999">
      <c r="A113" s="145">
        <v>45916</v>
      </c>
      <c r="B113" s="140">
        <f>E45+E46+E47+E48-2000</f>
        <v>700477</v>
      </c>
      <c r="C113" s="207"/>
      <c r="D113" s="145">
        <v>45916</v>
      </c>
      <c r="E113" s="140">
        <f>E46+E47+E48</f>
        <v>501107</v>
      </c>
      <c r="F113" s="207"/>
      <c r="G113" s="103"/>
    </row>
    <row r="114" spans="1:7" ht="17.399999999999999">
      <c r="A114" s="145">
        <v>45917</v>
      </c>
      <c r="B114" s="140">
        <f>E49+E50+E51+E52</f>
        <v>403050</v>
      </c>
      <c r="C114" s="207"/>
      <c r="D114" s="145">
        <v>45917</v>
      </c>
      <c r="E114" s="140">
        <f>E50+E51+E52</f>
        <v>403050</v>
      </c>
      <c r="F114" s="207"/>
      <c r="G114" s="103"/>
    </row>
    <row r="115" spans="1:7" ht="17.399999999999999">
      <c r="A115" s="145">
        <v>45918</v>
      </c>
      <c r="B115" s="140">
        <f>E53+E54+E55+E56</f>
        <v>870139</v>
      </c>
      <c r="C115" s="207"/>
      <c r="D115" s="145">
        <v>45918</v>
      </c>
      <c r="E115" s="140">
        <f>E54+E55+E56</f>
        <v>740739</v>
      </c>
      <c r="F115" s="207"/>
      <c r="G115" s="103"/>
    </row>
    <row r="116" spans="1:7" ht="17.399999999999999">
      <c r="A116" s="145">
        <v>45920</v>
      </c>
      <c r="B116" s="140">
        <f>E57+E58+E59+E60</f>
        <v>726590</v>
      </c>
      <c r="C116" s="207"/>
      <c r="D116" s="145">
        <v>45920</v>
      </c>
      <c r="E116" s="140">
        <f>E58+E59+E60</f>
        <v>566590</v>
      </c>
      <c r="F116" s="207"/>
      <c r="G116" s="103"/>
    </row>
    <row r="117" spans="1:7" ht="17.399999999999999">
      <c r="A117" s="145">
        <v>45921</v>
      </c>
      <c r="B117" s="140">
        <f>E61+E62+E63+1040+6950</f>
        <v>756245</v>
      </c>
      <c r="C117" s="207"/>
      <c r="D117" s="145">
        <v>45921</v>
      </c>
      <c r="E117" s="140">
        <f>E62+E63</f>
        <v>487155</v>
      </c>
      <c r="F117" s="207"/>
      <c r="G117" s="103"/>
    </row>
    <row r="118" spans="1:7" ht="17.399999999999999">
      <c r="A118" s="145">
        <v>45922</v>
      </c>
      <c r="B118" s="140">
        <f>E64+E65+E66+E67+200000</f>
        <v>802575</v>
      </c>
      <c r="C118" s="95"/>
      <c r="D118" s="145">
        <v>45922</v>
      </c>
      <c r="E118" s="140">
        <f>E65+E66+E67</f>
        <v>402495</v>
      </c>
      <c r="F118" s="207"/>
      <c r="G118" s="103"/>
    </row>
    <row r="119" spans="1:7" ht="17.399999999999999">
      <c r="A119" s="145">
        <v>45923</v>
      </c>
      <c r="B119" s="140">
        <f>E68+E69+E70+E71+4800</f>
        <v>674270</v>
      </c>
      <c r="C119" s="207"/>
      <c r="D119" s="145">
        <v>45923</v>
      </c>
      <c r="E119" s="140">
        <f>E69+E70+E71</f>
        <v>487470</v>
      </c>
      <c r="F119" s="207"/>
      <c r="G119" s="103"/>
    </row>
    <row r="120" spans="1:7" ht="17.399999999999999">
      <c r="A120" s="145">
        <v>45924</v>
      </c>
      <c r="B120" s="140">
        <f>E73+E74+E75</f>
        <v>484740</v>
      </c>
      <c r="C120" s="207"/>
      <c r="D120" s="145">
        <v>45924</v>
      </c>
      <c r="E120" s="140">
        <f>E73+E74+E75</f>
        <v>484740</v>
      </c>
      <c r="F120" s="207"/>
      <c r="G120" s="103"/>
    </row>
    <row r="121" spans="1:7" ht="17.399999999999999">
      <c r="A121" s="146">
        <v>45925</v>
      </c>
      <c r="B121" s="142">
        <f>E76+E77+E78+E79+950+630</f>
        <v>655740</v>
      </c>
      <c r="C121" s="207">
        <f>400000+63000+19000+5500+1080</f>
        <v>488580</v>
      </c>
      <c r="D121" s="146">
        <v>45925</v>
      </c>
      <c r="E121" s="142">
        <f>E77+E78+E79</f>
        <v>464590</v>
      </c>
      <c r="F121" s="207"/>
      <c r="G121" s="103"/>
    </row>
    <row r="122" spans="1:7" ht="17.399999999999999">
      <c r="A122" s="146">
        <v>45927</v>
      </c>
      <c r="B122" s="142">
        <f>E80+E81+E82+E83</f>
        <v>810427</v>
      </c>
      <c r="C122" s="207"/>
      <c r="D122" s="146">
        <v>45927</v>
      </c>
      <c r="E122" s="142">
        <f>E81+E82+E83</f>
        <v>681427</v>
      </c>
      <c r="F122" s="207"/>
      <c r="G122" s="103"/>
    </row>
    <row r="123" spans="1:7" ht="17.399999999999999">
      <c r="A123" s="146">
        <v>45928</v>
      </c>
      <c r="B123" s="142">
        <f>E84+E85+E86+E87</f>
        <v>892145</v>
      </c>
      <c r="C123" s="207"/>
      <c r="D123" s="146">
        <v>45928</v>
      </c>
      <c r="E123" s="142">
        <f>E85+E86+E87</f>
        <v>728125</v>
      </c>
      <c r="F123" s="207"/>
      <c r="G123" s="103"/>
    </row>
    <row r="124" spans="1:7" ht="17.399999999999999">
      <c r="A124" s="146">
        <v>45929</v>
      </c>
      <c r="B124" s="142">
        <f>E88+E89+E90+E91-2000-405</f>
        <v>475075</v>
      </c>
      <c r="C124" s="207"/>
      <c r="D124" s="146">
        <v>45929</v>
      </c>
      <c r="E124" s="142">
        <f>E89+E90+E91</f>
        <v>341980</v>
      </c>
      <c r="F124" s="207"/>
      <c r="G124" s="103"/>
    </row>
    <row r="125" spans="1:7" ht="18" thickBot="1">
      <c r="A125" s="146">
        <v>45930</v>
      </c>
      <c r="B125" s="142">
        <f>E93+E94+E95</f>
        <v>380465</v>
      </c>
      <c r="C125" s="207"/>
      <c r="D125" s="146">
        <v>45930</v>
      </c>
      <c r="E125" s="142">
        <f>E93+E94+E95</f>
        <v>380465</v>
      </c>
      <c r="F125" s="207"/>
      <c r="G125" s="103"/>
    </row>
    <row r="126" spans="1:7" ht="18" thickBot="1">
      <c r="A126" s="143" t="s">
        <v>112</v>
      </c>
      <c r="B126" s="144">
        <f>SUM(B100:B125)</f>
        <v>16053817</v>
      </c>
      <c r="C126" s="207"/>
      <c r="D126" s="143" t="s">
        <v>112</v>
      </c>
      <c r="E126" s="144">
        <f>SUM(E100:E125)</f>
        <v>12818057</v>
      </c>
      <c r="F126" s="207"/>
      <c r="G126" s="103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2:I182"/>
  <sheetViews>
    <sheetView topLeftCell="A4" workbookViewId="0">
      <pane ySplit="1" topLeftCell="A5" activePane="bottomLeft" state="frozen"/>
      <selection activeCell="A4" sqref="A4"/>
      <selection pane="bottomLeft" activeCell="C139" sqref="A5:H148"/>
    </sheetView>
  </sheetViews>
  <sheetFormatPr baseColWidth="10" defaultColWidth="11.3984375" defaultRowHeight="13.8"/>
  <cols>
    <col min="1" max="1" width="29.3984375" bestFit="1" customWidth="1"/>
    <col min="2" max="2" width="18.09765625" customWidth="1"/>
    <col min="3" max="3" width="19.3984375" bestFit="1" customWidth="1"/>
    <col min="4" max="4" width="20.69921875" bestFit="1" customWidth="1"/>
    <col min="5" max="5" width="23.8984375" bestFit="1" customWidth="1"/>
    <col min="6" max="6" width="17.09765625" customWidth="1"/>
    <col min="7" max="7" width="18.09765625" customWidth="1"/>
    <col min="8" max="8" width="46.3984375" customWidth="1"/>
  </cols>
  <sheetData>
    <row r="2" spans="1:8" ht="21">
      <c r="A2" s="207"/>
      <c r="B2" s="207"/>
      <c r="C2" s="207"/>
      <c r="D2" s="207"/>
      <c r="E2" s="207"/>
      <c r="F2" s="207"/>
      <c r="G2" s="274">
        <v>45931</v>
      </c>
      <c r="H2" s="274"/>
    </row>
    <row r="4" spans="1:8" ht="18">
      <c r="A4" s="108" t="s">
        <v>111</v>
      </c>
      <c r="B4" s="108" t="s">
        <v>113</v>
      </c>
      <c r="C4" s="108" t="s">
        <v>114</v>
      </c>
      <c r="D4" s="108" t="s">
        <v>115</v>
      </c>
      <c r="E4" s="108" t="s">
        <v>116</v>
      </c>
      <c r="F4" s="108" t="s">
        <v>117</v>
      </c>
      <c r="G4" s="108" t="s">
        <v>118</v>
      </c>
      <c r="H4" s="108" t="s">
        <v>119</v>
      </c>
    </row>
    <row r="5" spans="1:8" ht="18">
      <c r="A5" s="159">
        <v>45931</v>
      </c>
      <c r="B5" s="108" t="s">
        <v>59</v>
      </c>
      <c r="C5" s="149"/>
      <c r="D5" s="149">
        <v>126033</v>
      </c>
      <c r="E5" s="149">
        <v>126033</v>
      </c>
      <c r="F5" s="149"/>
      <c r="G5" s="149"/>
      <c r="H5" s="133"/>
    </row>
    <row r="6" spans="1:8" ht="18">
      <c r="A6" s="138"/>
      <c r="B6" s="108" t="s">
        <v>120</v>
      </c>
      <c r="C6" s="149">
        <v>86249</v>
      </c>
      <c r="D6" s="149">
        <f>199409-115200</f>
        <v>84209</v>
      </c>
      <c r="E6" s="149">
        <v>82200</v>
      </c>
      <c r="F6" s="149">
        <v>2000</v>
      </c>
      <c r="G6" s="149">
        <f>(Tableau10[[#This Row],[VERSEMENT]]+Tableau10[[#This Row],[CHARGE]])-Tableau10[[#This Row],[T.LOGICIEL]]</f>
        <v>-9</v>
      </c>
      <c r="H6" s="133" t="s">
        <v>121</v>
      </c>
    </row>
    <row r="7" spans="1:8" ht="18">
      <c r="A7" s="207"/>
      <c r="B7" s="108" t="s">
        <v>122</v>
      </c>
      <c r="C7" s="149">
        <v>128536</v>
      </c>
      <c r="D7" s="149">
        <v>125571</v>
      </c>
      <c r="E7" s="149">
        <f>125515-5800</f>
        <v>119715</v>
      </c>
      <c r="F7" s="149">
        <v>5800</v>
      </c>
      <c r="G7" s="149">
        <f>(Tableau10[[#This Row],[VERSEMENT]]+Tableau10[[#This Row],[CHARGE]])-Tableau10[[#This Row],[T.LOGICIEL]]</f>
        <v>-56</v>
      </c>
      <c r="H7" s="133" t="s">
        <v>123</v>
      </c>
    </row>
    <row r="8" spans="1:8" ht="18.600000000000001" thickBot="1">
      <c r="A8" s="207"/>
      <c r="B8" s="108" t="s">
        <v>124</v>
      </c>
      <c r="C8" s="149">
        <v>66154</v>
      </c>
      <c r="D8" s="149">
        <v>86804</v>
      </c>
      <c r="E8" s="149">
        <v>86800</v>
      </c>
      <c r="F8" s="149"/>
      <c r="G8" s="149">
        <f>(Tableau10[[#This Row],[VERSEMENT]]+Tableau10[[#This Row],[CHARGE]])-Tableau10[[#This Row],[T.LOGICIEL]]</f>
        <v>-4</v>
      </c>
      <c r="H8" s="133"/>
    </row>
    <row r="9" spans="1:8" ht="19.2" thickTop="1" thickBot="1">
      <c r="A9" s="172"/>
      <c r="B9" s="169"/>
      <c r="C9" s="167"/>
      <c r="D9" s="167" t="s">
        <v>125</v>
      </c>
      <c r="E9" s="167">
        <f>SUBTOTAL(9,E5:E8)</f>
        <v>414748</v>
      </c>
      <c r="F9" s="167">
        <f t="shared" ref="F9:G9" si="0">SUBTOTAL(9,F5:F8)</f>
        <v>7800</v>
      </c>
      <c r="G9" s="167">
        <f t="shared" si="0"/>
        <v>-69</v>
      </c>
      <c r="H9" s="171"/>
    </row>
    <row r="10" spans="1:8" ht="18.600000000000001" thickTop="1">
      <c r="A10" s="159">
        <v>45932</v>
      </c>
      <c r="B10" s="108" t="s">
        <v>59</v>
      </c>
      <c r="C10" s="149"/>
      <c r="D10" s="149">
        <v>118622</v>
      </c>
      <c r="E10" s="149">
        <v>118622</v>
      </c>
      <c r="F10" s="149"/>
      <c r="G10" s="149">
        <f>(Tableau10[[#This Row],[VERSEMENT]]+Tableau10[[#This Row],[CHARGE]])-Tableau10[[#This Row],[T.LOGICIEL]]</f>
        <v>0</v>
      </c>
      <c r="H10" s="133"/>
    </row>
    <row r="11" spans="1:8" ht="36">
      <c r="A11" s="138"/>
      <c r="B11" s="108" t="s">
        <v>120</v>
      </c>
      <c r="C11" s="149">
        <v>173435</v>
      </c>
      <c r="D11" s="149">
        <v>173435</v>
      </c>
      <c r="E11" s="149">
        <f>179375-6440</f>
        <v>172935</v>
      </c>
      <c r="F11" s="149"/>
      <c r="G11" s="149">
        <f>(Tableau10[[#This Row],[VERSEMENT]]+Tableau10[[#This Row],[CHARGE]])-Tableau10[[#This Row],[T.LOGICIEL]]</f>
        <v>-500</v>
      </c>
      <c r="H11" s="133" t="s">
        <v>126</v>
      </c>
    </row>
    <row r="12" spans="1:8" ht="36">
      <c r="A12" s="207"/>
      <c r="B12" s="108" t="s">
        <v>122</v>
      </c>
      <c r="C12" s="149">
        <v>166909</v>
      </c>
      <c r="D12" s="149">
        <v>157840</v>
      </c>
      <c r="E12" s="149">
        <f>35527+122075</f>
        <v>157602</v>
      </c>
      <c r="F12" s="149">
        <v>0</v>
      </c>
      <c r="G12" s="149">
        <f>(Tableau10[[#This Row],[VERSEMENT]]+Tableau10[[#This Row],[CHARGE]])-Tableau10[[#This Row],[T.LOGICIEL]]</f>
        <v>-238</v>
      </c>
      <c r="H12" s="155" t="s">
        <v>127</v>
      </c>
    </row>
    <row r="13" spans="1:8" ht="36.6" thickBot="1">
      <c r="A13" s="207"/>
      <c r="B13" s="108" t="s">
        <v>124</v>
      </c>
      <c r="C13" s="149">
        <v>203906</v>
      </c>
      <c r="D13" s="149">
        <v>201836</v>
      </c>
      <c r="E13" s="149">
        <f>196775</f>
        <v>196775</v>
      </c>
      <c r="F13" s="149">
        <v>5000</v>
      </c>
      <c r="G13" s="149">
        <f>(Tableau10[[#This Row],[VERSEMENT]]+Tableau10[[#This Row],[CHARGE]])-Tableau10[[#This Row],[T.LOGICIEL]]</f>
        <v>-61</v>
      </c>
      <c r="H13" s="133" t="s">
        <v>128</v>
      </c>
    </row>
    <row r="14" spans="1:8" ht="19.2" thickTop="1" thickBot="1">
      <c r="A14" s="172"/>
      <c r="B14" s="169"/>
      <c r="C14" s="167"/>
      <c r="D14" s="167" t="s">
        <v>125</v>
      </c>
      <c r="E14" s="167">
        <f>SUBTOTAL(9,E10:E13)</f>
        <v>645934</v>
      </c>
      <c r="F14" s="167">
        <f t="shared" ref="F14:G14" si="1">SUBTOTAL(9,F10:F13)</f>
        <v>5000</v>
      </c>
      <c r="G14" s="167">
        <f t="shared" si="1"/>
        <v>-799</v>
      </c>
      <c r="H14" s="171"/>
    </row>
    <row r="15" spans="1:8" ht="18.600000000000001" thickTop="1">
      <c r="A15" s="159">
        <v>45934</v>
      </c>
      <c r="B15" s="108" t="s">
        <v>59</v>
      </c>
      <c r="C15" s="149"/>
      <c r="D15" s="149">
        <v>175693</v>
      </c>
      <c r="E15" s="149">
        <v>175693</v>
      </c>
      <c r="F15" s="149"/>
      <c r="G15" s="149">
        <f>(Tableau10[[#This Row],[VERSEMENT]]+Tableau10[[#This Row],[CHARGE]])-Tableau10[[#This Row],[T.LOGICIEL]]</f>
        <v>0</v>
      </c>
      <c r="H15" s="133"/>
    </row>
    <row r="16" spans="1:8" ht="36">
      <c r="A16" s="138"/>
      <c r="B16" s="108" t="s">
        <v>120</v>
      </c>
      <c r="C16" s="149">
        <v>184874</v>
      </c>
      <c r="D16" s="149">
        <v>179934</v>
      </c>
      <c r="E16" s="149">
        <v>179934</v>
      </c>
      <c r="F16" s="149"/>
      <c r="G16" s="149">
        <f>(Tableau10[[#This Row],[VERSEMENT]]+Tableau10[[#This Row],[CHARGE]])-Tableau10[[#This Row],[T.LOGICIEL]]</f>
        <v>0</v>
      </c>
      <c r="H16" s="133" t="s">
        <v>129</v>
      </c>
    </row>
    <row r="17" spans="1:8" ht="18">
      <c r="A17" s="207"/>
      <c r="B17" s="108" t="s">
        <v>122</v>
      </c>
      <c r="C17" s="149">
        <v>185665</v>
      </c>
      <c r="D17" s="149">
        <v>185665</v>
      </c>
      <c r="E17" s="149">
        <f>183705</f>
        <v>183705</v>
      </c>
      <c r="F17" s="149">
        <v>1000</v>
      </c>
      <c r="G17" s="149">
        <f>(Tableau10[[#This Row],[VERSEMENT]]+Tableau10[[#This Row],[CHARGE]])-Tableau10[[#This Row],[T.LOGICIEL]]</f>
        <v>-960</v>
      </c>
      <c r="H17" s="133" t="s">
        <v>130</v>
      </c>
    </row>
    <row r="18" spans="1:8" ht="18.600000000000001" thickBot="1">
      <c r="A18" s="125"/>
      <c r="B18" s="118" t="s">
        <v>124</v>
      </c>
      <c r="C18" s="150">
        <v>112915</v>
      </c>
      <c r="D18" s="150">
        <v>112915</v>
      </c>
      <c r="E18" s="150">
        <v>107915</v>
      </c>
      <c r="F18" s="150">
        <v>5000</v>
      </c>
      <c r="G18" s="150">
        <f>(Tableau10[[#This Row],[VERSEMENT]]+Tableau10[[#This Row],[CHARGE]])-Tableau10[[#This Row],[T.LOGICIEL]]</f>
        <v>0</v>
      </c>
      <c r="H18" s="135" t="s">
        <v>131</v>
      </c>
    </row>
    <row r="19" spans="1:8" ht="19.2" thickTop="1" thickBot="1">
      <c r="A19" s="168"/>
      <c r="B19" s="169"/>
      <c r="C19" s="170"/>
      <c r="D19" s="167" t="s">
        <v>125</v>
      </c>
      <c r="E19" s="167">
        <f>SUBTOTAL(9,E15:E18)</f>
        <v>647247</v>
      </c>
      <c r="F19" s="167">
        <f t="shared" ref="F19:G19" si="2">SUBTOTAL(9,F15:F18)</f>
        <v>6000</v>
      </c>
      <c r="G19" s="167">
        <f t="shared" si="2"/>
        <v>-960</v>
      </c>
      <c r="H19" s="171"/>
    </row>
    <row r="20" spans="1:8" ht="18.600000000000001" thickTop="1">
      <c r="A20" s="159">
        <v>45935</v>
      </c>
      <c r="B20" s="108" t="s">
        <v>59</v>
      </c>
      <c r="C20" s="152"/>
      <c r="D20" s="149">
        <v>113785</v>
      </c>
      <c r="E20" s="149">
        <v>79650</v>
      </c>
      <c r="F20" s="149"/>
      <c r="G20" s="149">
        <f>Tableau10[[#This Row],[VERSEMENT]]+Tableau10[[#This Row],[CHARGE]]-Tableau10[[#This Row],[T.LOGICIEL]]</f>
        <v>-34135</v>
      </c>
      <c r="H20" s="133" t="s">
        <v>132</v>
      </c>
    </row>
    <row r="21" spans="1:8" ht="18">
      <c r="A21" s="154"/>
      <c r="B21" s="108" t="s">
        <v>133</v>
      </c>
      <c r="C21" s="149">
        <v>275184</v>
      </c>
      <c r="D21" s="149">
        <v>273084</v>
      </c>
      <c r="E21" s="149">
        <f>272935-900</f>
        <v>272035</v>
      </c>
      <c r="F21" s="149">
        <v>900</v>
      </c>
      <c r="G21" s="149">
        <f>Tableau10[[#This Row],[VERSEMENT]]+Tableau10[[#This Row],[CHARGE]]-Tableau10[[#This Row],[T.LOGICIEL]]</f>
        <v>-149</v>
      </c>
      <c r="H21" s="153" t="s">
        <v>134</v>
      </c>
    </row>
    <row r="22" spans="1:8" ht="18">
      <c r="A22" s="154"/>
      <c r="B22" s="108" t="s">
        <v>122</v>
      </c>
      <c r="C22" s="149">
        <v>182833</v>
      </c>
      <c r="D22" s="149">
        <v>166693</v>
      </c>
      <c r="E22" s="149">
        <f>150100+16599</f>
        <v>166699</v>
      </c>
      <c r="F22" s="149"/>
      <c r="G22" s="149">
        <f>Tableau10[[#This Row],[VERSEMENT]]+Tableau10[[#This Row],[CHARGE]]-Tableau10[[#This Row],[T.LOGICIEL]]</f>
        <v>6</v>
      </c>
      <c r="H22" s="153" t="s">
        <v>135</v>
      </c>
    </row>
    <row r="23" spans="1:8" ht="18.600000000000001" thickBot="1">
      <c r="A23" s="154"/>
      <c r="B23" s="108" t="s">
        <v>120</v>
      </c>
      <c r="C23" s="149">
        <f>16960+17589+6270</f>
        <v>40819</v>
      </c>
      <c r="D23" s="149">
        <f>16150+17589+5055</f>
        <v>38794</v>
      </c>
      <c r="E23" s="149">
        <v>38250</v>
      </c>
      <c r="F23" s="149">
        <v>500</v>
      </c>
      <c r="G23" s="149">
        <f>Tableau10[[#This Row],[VERSEMENT]]+Tableau10[[#This Row],[CHARGE]]-Tableau10[[#This Row],[T.LOGICIEL]]</f>
        <v>-44</v>
      </c>
      <c r="H23" s="153" t="s">
        <v>136</v>
      </c>
    </row>
    <row r="24" spans="1:8" ht="19.2" thickTop="1" thickBot="1">
      <c r="A24" s="166"/>
      <c r="B24" s="161"/>
      <c r="C24" s="162"/>
      <c r="D24" s="167" t="s">
        <v>125</v>
      </c>
      <c r="E24" s="167">
        <f t="shared" ref="E24:F24" si="3">SUBTOTAL(9,E20:E23)</f>
        <v>556634</v>
      </c>
      <c r="F24" s="167">
        <f t="shared" si="3"/>
        <v>1400</v>
      </c>
      <c r="G24" s="167">
        <f>SUBTOTAL(9,G20:G23)</f>
        <v>-34322</v>
      </c>
      <c r="H24" s="164"/>
    </row>
    <row r="25" spans="1:8" ht="18.600000000000001" thickTop="1">
      <c r="A25" s="159">
        <v>45936</v>
      </c>
      <c r="B25" s="108" t="s">
        <v>59</v>
      </c>
      <c r="C25" s="152"/>
      <c r="D25" s="149">
        <v>228208</v>
      </c>
      <c r="E25" s="149">
        <v>240000</v>
      </c>
      <c r="F25" s="149"/>
      <c r="G25" s="149">
        <f>Tableau10[[#This Row],[VERSEMENT]]+Tableau10[[#This Row],[CHARGE]]-Tableau10[[#This Row],[T.LOGICIEL]]</f>
        <v>11792</v>
      </c>
      <c r="H25" s="153" t="s">
        <v>137</v>
      </c>
    </row>
    <row r="26" spans="1:8" ht="18">
      <c r="A26" s="154"/>
      <c r="B26" s="108" t="s">
        <v>122</v>
      </c>
      <c r="C26" s="149">
        <v>108119</v>
      </c>
      <c r="D26" s="149">
        <v>108119</v>
      </c>
      <c r="E26" s="149">
        <v>107030</v>
      </c>
      <c r="F26" s="149">
        <v>1000</v>
      </c>
      <c r="G26" s="149">
        <f>Tableau10[[#This Row],[VERSEMENT]]+Tableau10[[#This Row],[CHARGE]]-Tableau10[[#This Row],[T.LOGICIEL]]</f>
        <v>-89</v>
      </c>
      <c r="H26" s="153" t="s">
        <v>138</v>
      </c>
    </row>
    <row r="27" spans="1:8" ht="36">
      <c r="A27" s="154"/>
      <c r="B27" s="108" t="s">
        <v>120</v>
      </c>
      <c r="C27" s="149">
        <v>184674</v>
      </c>
      <c r="D27" s="149">
        <f>184674-18494-15000-3000</f>
        <v>148180</v>
      </c>
      <c r="E27" s="149">
        <f>148175</f>
        <v>148175</v>
      </c>
      <c r="F27" s="149"/>
      <c r="G27" s="149">
        <f>Tableau10[[#This Row],[VERSEMENT]]+Tableau10[[#This Row],[CHARGE]]-Tableau10[[#This Row],[T.LOGICIEL]]</f>
        <v>-5</v>
      </c>
      <c r="H27" s="153" t="s">
        <v>139</v>
      </c>
    </row>
    <row r="28" spans="1:8" ht="18.600000000000001" thickBot="1">
      <c r="A28" s="154"/>
      <c r="B28" s="108" t="s">
        <v>124</v>
      </c>
      <c r="C28" s="149">
        <v>79396</v>
      </c>
      <c r="D28" s="149">
        <v>79396</v>
      </c>
      <c r="E28" s="149">
        <f>78385-2000</f>
        <v>76385</v>
      </c>
      <c r="F28" s="149">
        <f>1000+2000</f>
        <v>3000</v>
      </c>
      <c r="G28" s="149">
        <f>Tableau10[[#This Row],[VERSEMENT]]+Tableau10[[#This Row],[CHARGE]]-Tableau10[[#This Row],[T.LOGICIEL]]</f>
        <v>-11</v>
      </c>
      <c r="H28" s="153" t="s">
        <v>140</v>
      </c>
    </row>
    <row r="29" spans="1:8" ht="19.2" thickTop="1" thickBot="1">
      <c r="A29" s="166"/>
      <c r="B29" s="161"/>
      <c r="C29" s="162"/>
      <c r="D29" s="163" t="s">
        <v>125</v>
      </c>
      <c r="E29" s="163">
        <f>SUBTOTAL(9,E25:E28)</f>
        <v>571590</v>
      </c>
      <c r="F29" s="163">
        <f t="shared" ref="F29:G29" si="4">SUBTOTAL(9,F25:F28)</f>
        <v>4000</v>
      </c>
      <c r="G29" s="163">
        <f t="shared" si="4"/>
        <v>11687</v>
      </c>
      <c r="H29" s="164"/>
    </row>
    <row r="30" spans="1:8" ht="18.600000000000001" thickTop="1">
      <c r="A30" s="159">
        <v>45937</v>
      </c>
      <c r="B30" s="108" t="s">
        <v>59</v>
      </c>
      <c r="C30" s="152"/>
      <c r="D30" s="149">
        <v>207014</v>
      </c>
      <c r="E30" s="149">
        <v>229400</v>
      </c>
      <c r="F30" s="149"/>
      <c r="G30" s="149">
        <f>Tableau10[[#This Row],[VERSEMENT]]+Tableau10[[#This Row],[CHARGE]]-Tableau10[[#This Row],[T.LOGICIEL]]</f>
        <v>22386</v>
      </c>
      <c r="H30" s="153" t="s">
        <v>141</v>
      </c>
    </row>
    <row r="31" spans="1:8" ht="18">
      <c r="A31" s="154"/>
      <c r="B31" s="108" t="s">
        <v>122</v>
      </c>
      <c r="C31" s="149">
        <v>121135</v>
      </c>
      <c r="D31" s="149">
        <v>120730</v>
      </c>
      <c r="E31" s="149">
        <v>120730</v>
      </c>
      <c r="F31" s="149"/>
      <c r="G31" s="149">
        <f>Tableau10[[#This Row],[VERSEMENT]]+Tableau10[[#This Row],[CHARGE]]-Tableau10[[#This Row],[T.LOGICIEL]]</f>
        <v>0</v>
      </c>
      <c r="H31" s="153" t="s">
        <v>142</v>
      </c>
    </row>
    <row r="32" spans="1:8" ht="36">
      <c r="A32" s="154"/>
      <c r="B32" s="108" t="s">
        <v>120</v>
      </c>
      <c r="C32" s="149">
        <v>226259</v>
      </c>
      <c r="D32" s="149">
        <v>225003</v>
      </c>
      <c r="E32" s="149">
        <f>225003-5550-4000</f>
        <v>215453</v>
      </c>
      <c r="F32" s="149">
        <f>5550+4000</f>
        <v>9550</v>
      </c>
      <c r="G32" s="149">
        <f>Tableau10[[#This Row],[VERSEMENT]]+Tableau10[[#This Row],[CHARGE]]-Tableau10[[#This Row],[T.LOGICIEL]]</f>
        <v>0</v>
      </c>
      <c r="H32" s="153" t="s">
        <v>143</v>
      </c>
    </row>
    <row r="33" spans="1:8" ht="18.600000000000001" thickBot="1">
      <c r="A33" s="154"/>
      <c r="B33" s="108" t="s">
        <v>124</v>
      </c>
      <c r="C33" s="149">
        <v>190558</v>
      </c>
      <c r="D33" s="149">
        <v>71418</v>
      </c>
      <c r="E33" s="149">
        <v>70415</v>
      </c>
      <c r="F33" s="149">
        <v>1000</v>
      </c>
      <c r="G33" s="149">
        <f>Tableau10[[#This Row],[VERSEMENT]]+Tableau10[[#This Row],[CHARGE]]-Tableau10[[#This Row],[T.LOGICIEL]]</f>
        <v>-3</v>
      </c>
      <c r="H33" s="153" t="s">
        <v>144</v>
      </c>
    </row>
    <row r="34" spans="1:8" ht="19.2" thickTop="1" thickBot="1">
      <c r="A34" s="166"/>
      <c r="B34" s="161"/>
      <c r="C34" s="163"/>
      <c r="D34" s="163" t="s">
        <v>125</v>
      </c>
      <c r="E34" s="163">
        <f>SUBTOTAL(9,E30:E33)</f>
        <v>635998</v>
      </c>
      <c r="F34" s="163">
        <f t="shared" ref="F34:G34" si="5">SUBTOTAL(9,F30:F33)</f>
        <v>10550</v>
      </c>
      <c r="G34" s="163">
        <f t="shared" si="5"/>
        <v>22383</v>
      </c>
      <c r="H34" s="164"/>
    </row>
    <row r="35" spans="1:8" ht="18.600000000000001" thickTop="1">
      <c r="A35" s="159">
        <v>45938</v>
      </c>
      <c r="B35" s="108" t="s">
        <v>59</v>
      </c>
      <c r="C35" s="149"/>
      <c r="D35" s="149">
        <v>154631</v>
      </c>
      <c r="E35" s="149">
        <v>154600</v>
      </c>
      <c r="F35" s="149"/>
      <c r="G35" s="149">
        <f>Tableau10[[#This Row],[VERSEMENT]]+Tableau10[[#This Row],[CHARGE]]-Tableau10[[#This Row],[T.LOGICIEL]]</f>
        <v>-31</v>
      </c>
      <c r="H35" s="153"/>
    </row>
    <row r="36" spans="1:8" ht="36">
      <c r="A36" s="137"/>
      <c r="B36" s="108" t="s">
        <v>122</v>
      </c>
      <c r="C36" s="149">
        <v>182568</v>
      </c>
      <c r="D36" s="149">
        <f>182568-4977</f>
        <v>177591</v>
      </c>
      <c r="E36" s="149">
        <v>176600</v>
      </c>
      <c r="F36" s="149">
        <v>1000</v>
      </c>
      <c r="G36" s="149">
        <f>Tableau10[[#This Row],[VERSEMENT]]+Tableau10[[#This Row],[CHARGE]]-Tableau10[[#This Row],[T.LOGICIEL]]</f>
        <v>9</v>
      </c>
      <c r="H36" s="153" t="s">
        <v>145</v>
      </c>
    </row>
    <row r="37" spans="1:8" ht="18">
      <c r="A37" s="137"/>
      <c r="B37" s="108" t="s">
        <v>120</v>
      </c>
      <c r="C37" s="149">
        <v>232349</v>
      </c>
      <c r="D37" s="149">
        <f>232304</f>
        <v>232304</v>
      </c>
      <c r="E37" s="149">
        <f>145565</f>
        <v>145565</v>
      </c>
      <c r="F37" s="149">
        <v>500</v>
      </c>
      <c r="G37" s="149">
        <f>Tableau10[[#This Row],[VERSEMENT]]+Tableau10[[#This Row],[CHARGE]]-Tableau10[[#This Row],[T.LOGICIEL]]</f>
        <v>-86239</v>
      </c>
      <c r="H37" s="153" t="s">
        <v>146</v>
      </c>
    </row>
    <row r="38" spans="1:8" ht="36.6" thickBot="1">
      <c r="A38" s="137"/>
      <c r="B38" s="108" t="s">
        <v>124</v>
      </c>
      <c r="C38" s="149">
        <v>83306</v>
      </c>
      <c r="D38" s="149">
        <v>81842</v>
      </c>
      <c r="E38" s="149">
        <f>78990+950</f>
        <v>79940</v>
      </c>
      <c r="F38" s="149"/>
      <c r="G38" s="149">
        <f>Tableau10[[#This Row],[VERSEMENT]]+Tableau10[[#This Row],[CHARGE]]-Tableau10[[#This Row],[T.LOGICIEL]]</f>
        <v>-1902</v>
      </c>
      <c r="H38" s="153" t="s">
        <v>147</v>
      </c>
    </row>
    <row r="39" spans="1:8" ht="19.2" thickTop="1" thickBot="1">
      <c r="A39" s="160"/>
      <c r="B39" s="161"/>
      <c r="C39" s="163"/>
      <c r="D39" s="163" t="s">
        <v>125</v>
      </c>
      <c r="E39" s="163">
        <f>SUBTOTAL(9,E35:E38)</f>
        <v>556705</v>
      </c>
      <c r="F39" s="163">
        <f t="shared" ref="F39:G39" si="6">SUBTOTAL(9,F35:F38)</f>
        <v>1500</v>
      </c>
      <c r="G39" s="163">
        <f t="shared" si="6"/>
        <v>-88163</v>
      </c>
      <c r="H39" s="164"/>
    </row>
    <row r="40" spans="1:8" ht="18.600000000000001" thickTop="1">
      <c r="A40" s="158">
        <v>45939</v>
      </c>
      <c r="B40" s="108" t="s">
        <v>59</v>
      </c>
      <c r="C40" s="149"/>
      <c r="D40" s="149">
        <v>160488</v>
      </c>
      <c r="E40" s="149">
        <v>160310</v>
      </c>
      <c r="F40" s="149"/>
      <c r="G40" s="149">
        <f>Tableau10[[#This Row],[VERSEMENT]]+Tableau10[[#This Row],[CHARGE]]-Tableau10[[#This Row],[T.LOGICIEL]]</f>
        <v>-178</v>
      </c>
      <c r="H40" s="153" t="s">
        <v>148</v>
      </c>
    </row>
    <row r="41" spans="1:8" ht="18">
      <c r="A41" s="137"/>
      <c r="B41" s="108" t="s">
        <v>122</v>
      </c>
      <c r="C41" s="149">
        <v>163169</v>
      </c>
      <c r="D41" s="149">
        <v>161099</v>
      </c>
      <c r="E41" s="149">
        <v>161145</v>
      </c>
      <c r="F41" s="149"/>
      <c r="G41" s="149">
        <f>Tableau10[[#This Row],[VERSEMENT]]+Tableau10[[#This Row],[CHARGE]]-Tableau10[[#This Row],[T.LOGICIEL]]</f>
        <v>46</v>
      </c>
      <c r="H41" s="153" t="s">
        <v>149</v>
      </c>
    </row>
    <row r="42" spans="1:8" ht="36">
      <c r="A42" s="137"/>
      <c r="B42" s="108" t="s">
        <v>120</v>
      </c>
      <c r="C42" s="149">
        <v>303240</v>
      </c>
      <c r="D42" s="149">
        <v>303165</v>
      </c>
      <c r="E42" s="149">
        <f>270000+33010</f>
        <v>303010</v>
      </c>
      <c r="F42" s="149"/>
      <c r="G42" s="149">
        <f>Tableau10[[#This Row],[VERSEMENT]]+Tableau10[[#This Row],[CHARGE]]-Tableau10[[#This Row],[T.LOGICIEL]]</f>
        <v>-155</v>
      </c>
      <c r="H42" s="153" t="s">
        <v>150</v>
      </c>
    </row>
    <row r="43" spans="1:8" ht="18.600000000000001" thickBot="1">
      <c r="A43" s="137"/>
      <c r="B43" s="108" t="s">
        <v>124</v>
      </c>
      <c r="C43" s="149">
        <v>170554</v>
      </c>
      <c r="D43" s="149">
        <v>166554</v>
      </c>
      <c r="E43" s="149">
        <v>164790</v>
      </c>
      <c r="F43" s="149"/>
      <c r="G43" s="149">
        <f>Tableau10[[#This Row],[VERSEMENT]]+Tableau10[[#This Row],[CHARGE]]-Tableau10[[#This Row],[T.LOGICIEL]]</f>
        <v>-1764</v>
      </c>
      <c r="H43" s="153" t="s">
        <v>151</v>
      </c>
    </row>
    <row r="44" spans="1:8" ht="19.2" thickTop="1" thickBot="1">
      <c r="A44" s="160"/>
      <c r="B44" s="161"/>
      <c r="C44" s="163"/>
      <c r="D44" s="163" t="s">
        <v>125</v>
      </c>
      <c r="E44" s="163">
        <f>SUBTOTAL(9,E40:E43)</f>
        <v>789255</v>
      </c>
      <c r="F44" s="163">
        <f t="shared" ref="F44:G44" si="7">SUBTOTAL(9,F40:F43)</f>
        <v>0</v>
      </c>
      <c r="G44" s="163">
        <f t="shared" si="7"/>
        <v>-2051</v>
      </c>
      <c r="H44" s="164"/>
    </row>
    <row r="45" spans="1:8" ht="36.6" thickTop="1">
      <c r="A45" s="159">
        <v>45941</v>
      </c>
      <c r="B45" s="108" t="s">
        <v>59</v>
      </c>
      <c r="C45" s="149"/>
      <c r="D45" s="149">
        <v>140405</v>
      </c>
      <c r="E45" s="149">
        <v>140305</v>
      </c>
      <c r="F45" s="149"/>
      <c r="G45" s="149">
        <f>Tableau10[[#This Row],[VERSEMENT]]+Tableau10[[#This Row],[CHARGE]]-Tableau10[[#This Row],[T.LOGICIEL]]</f>
        <v>-100</v>
      </c>
      <c r="H45" s="153" t="s">
        <v>152</v>
      </c>
    </row>
    <row r="46" spans="1:8" ht="36">
      <c r="A46" s="137"/>
      <c r="B46" s="108" t="s">
        <v>122</v>
      </c>
      <c r="C46" s="149">
        <v>151331</v>
      </c>
      <c r="D46" s="149">
        <v>148211</v>
      </c>
      <c r="E46" s="149">
        <v>138130</v>
      </c>
      <c r="F46" s="149"/>
      <c r="G46" s="149">
        <f>Tableau10[[#This Row],[VERSEMENT]]+Tableau10[[#This Row],[CHARGE]]-Tableau10[[#This Row],[T.LOGICIEL]]</f>
        <v>-10081</v>
      </c>
      <c r="H46" s="153" t="s">
        <v>153</v>
      </c>
    </row>
    <row r="47" spans="1:8" ht="36">
      <c r="A47" s="137"/>
      <c r="B47" s="108" t="s">
        <v>120</v>
      </c>
      <c r="C47" s="149">
        <v>267488</v>
      </c>
      <c r="D47" s="149">
        <v>266793</v>
      </c>
      <c r="E47" s="149">
        <f>267330</f>
        <v>267330</v>
      </c>
      <c r="F47" s="149"/>
      <c r="G47" s="149">
        <f>Tableau10[[#This Row],[VERSEMENT]]+Tableau10[[#This Row],[CHARGE]]-Tableau10[[#This Row],[T.LOGICIEL]]</f>
        <v>537</v>
      </c>
      <c r="H47" s="153" t="s">
        <v>154</v>
      </c>
    </row>
    <row r="48" spans="1:8" ht="36.6" thickBot="1">
      <c r="A48" s="137"/>
      <c r="B48" s="108" t="s">
        <v>124</v>
      </c>
      <c r="C48" s="149">
        <v>84476</v>
      </c>
      <c r="D48" s="149">
        <v>83296</v>
      </c>
      <c r="E48" s="149">
        <f>43280-1000-1000</f>
        <v>41280</v>
      </c>
      <c r="F48" s="149">
        <f>1000+1000</f>
        <v>2000</v>
      </c>
      <c r="G48" s="149">
        <f>Tableau10[[#This Row],[VERSEMENT]]+Tableau10[[#This Row],[CHARGE]]-Tableau10[[#This Row],[T.LOGICIEL]]</f>
        <v>-40016</v>
      </c>
      <c r="H48" s="153" t="s">
        <v>155</v>
      </c>
    </row>
    <row r="49" spans="1:8" ht="19.2" thickTop="1" thickBot="1">
      <c r="A49" s="160"/>
      <c r="B49" s="161"/>
      <c r="C49" s="162"/>
      <c r="D49" s="163" t="s">
        <v>125</v>
      </c>
      <c r="E49" s="163">
        <f>SUBTOTAL(9,E45:E48)</f>
        <v>587045</v>
      </c>
      <c r="F49" s="163">
        <f>SUBTOTAL(9,F45:F48)</f>
        <v>2000</v>
      </c>
      <c r="G49" s="163">
        <f>SUBTOTAL(9,G45:G48)</f>
        <v>-49660</v>
      </c>
      <c r="H49" s="164"/>
    </row>
    <row r="50" spans="1:8" ht="18.600000000000001" thickTop="1">
      <c r="A50" s="159">
        <v>45942</v>
      </c>
      <c r="B50" s="108" t="s">
        <v>59</v>
      </c>
      <c r="C50" s="152"/>
      <c r="D50" s="149">
        <v>166932</v>
      </c>
      <c r="E50" s="149">
        <v>116930</v>
      </c>
      <c r="F50" s="149"/>
      <c r="G50" s="149">
        <f>Tableau10[[#This Row],[VERSEMENT]]+Tableau10[[#This Row],[CHARGE]]-Tableau10[[#This Row],[T.LOGICIEL]]</f>
        <v>-50002</v>
      </c>
      <c r="H50" s="153" t="s">
        <v>156</v>
      </c>
    </row>
    <row r="51" spans="1:8" ht="18">
      <c r="A51" s="137"/>
      <c r="B51" s="108" t="s">
        <v>122</v>
      </c>
      <c r="C51" s="152">
        <v>179893</v>
      </c>
      <c r="D51" s="149">
        <v>142414</v>
      </c>
      <c r="E51" s="149">
        <f>142410-25000</f>
        <v>117410</v>
      </c>
      <c r="F51" s="149">
        <v>25000</v>
      </c>
      <c r="G51" s="149">
        <f>Tableau10[[#This Row],[VERSEMENT]]+Tableau10[[#This Row],[CHARGE]]-Tableau10[[#This Row],[T.LOGICIEL]]</f>
        <v>-4</v>
      </c>
      <c r="H51" s="153" t="s">
        <v>157</v>
      </c>
    </row>
    <row r="52" spans="1:8" ht="18">
      <c r="A52" s="137"/>
      <c r="B52" s="108" t="s">
        <v>120</v>
      </c>
      <c r="C52" s="152">
        <v>71037</v>
      </c>
      <c r="D52" s="149">
        <v>69147</v>
      </c>
      <c r="E52" s="149">
        <f>69147+2100</f>
        <v>71247</v>
      </c>
      <c r="F52" s="149">
        <v>0</v>
      </c>
      <c r="G52" s="149">
        <f>Tableau10[[#This Row],[VERSEMENT]]+Tableau10[[#This Row],[CHARGE]]-Tableau10[[#This Row],[T.LOGICIEL]]</f>
        <v>2100</v>
      </c>
      <c r="H52" s="153" t="s">
        <v>158</v>
      </c>
    </row>
    <row r="53" spans="1:8" ht="18.600000000000001" thickBot="1">
      <c r="A53" s="137"/>
      <c r="B53" s="108" t="s">
        <v>124</v>
      </c>
      <c r="C53" s="152">
        <v>192112</v>
      </c>
      <c r="D53" s="149">
        <v>189808</v>
      </c>
      <c r="E53" s="149">
        <v>188810</v>
      </c>
      <c r="F53" s="149">
        <v>1000</v>
      </c>
      <c r="G53" s="149">
        <f>Tableau10[[#This Row],[VERSEMENT]]+Tableau10[[#This Row],[CHARGE]]-Tableau10[[#This Row],[T.LOGICIEL]]</f>
        <v>2</v>
      </c>
      <c r="H53" s="153" t="s">
        <v>159</v>
      </c>
    </row>
    <row r="54" spans="1:8" ht="19.2" thickTop="1" thickBot="1">
      <c r="A54" s="160"/>
      <c r="B54" s="161"/>
      <c r="C54" s="162"/>
      <c r="D54" s="163" t="s">
        <v>125</v>
      </c>
      <c r="E54" s="163">
        <f>SUBTOTAL(9,E50:E53)</f>
        <v>494397</v>
      </c>
      <c r="F54" s="163">
        <f>SUBTOTAL(9,F50:F53)</f>
        <v>26000</v>
      </c>
      <c r="G54" s="163">
        <f>SUBTOTAL(9,G50:G53)</f>
        <v>-47904</v>
      </c>
      <c r="H54" s="164"/>
    </row>
    <row r="55" spans="1:8" ht="18.600000000000001" thickTop="1">
      <c r="A55" s="159">
        <v>45943</v>
      </c>
      <c r="B55" s="108" t="s">
        <v>59</v>
      </c>
      <c r="C55" s="152"/>
      <c r="D55" s="149">
        <v>177930</v>
      </c>
      <c r="E55" s="149">
        <v>177925</v>
      </c>
      <c r="F55" s="149"/>
      <c r="G55" s="149">
        <f>Tableau10[[#This Row],[VERSEMENT]]+Tableau10[[#This Row],[CHARGE]]-Tableau10[[#This Row],[T.LOGICIEL]]</f>
        <v>-5</v>
      </c>
      <c r="H55" s="153"/>
    </row>
    <row r="56" spans="1:8" ht="18">
      <c r="A56" s="159"/>
      <c r="B56" s="108" t="s">
        <v>122</v>
      </c>
      <c r="C56" s="152">
        <v>175818</v>
      </c>
      <c r="D56" s="149">
        <v>175818</v>
      </c>
      <c r="E56" s="149">
        <f>175818-2025-2100</f>
        <v>171693</v>
      </c>
      <c r="F56" s="149"/>
      <c r="G56" s="149">
        <f>Tableau10[[#This Row],[VERSEMENT]]+Tableau10[[#This Row],[CHARGE]]-Tableau10[[#This Row],[T.LOGICIEL]]</f>
        <v>-4125</v>
      </c>
      <c r="H56" s="153" t="s">
        <v>160</v>
      </c>
    </row>
    <row r="57" spans="1:8" ht="18">
      <c r="A57" s="159"/>
      <c r="B57" s="108" t="s">
        <v>120</v>
      </c>
      <c r="C57" s="152">
        <v>149093</v>
      </c>
      <c r="D57" s="149">
        <v>149093</v>
      </c>
      <c r="E57" s="149">
        <f>71251+77842-(4290+17890)-80</f>
        <v>126833</v>
      </c>
      <c r="F57" s="149"/>
      <c r="G57" s="149">
        <f>Tableau10[[#This Row],[VERSEMENT]]+Tableau10[[#This Row],[CHARGE]]-Tableau10[[#This Row],[T.LOGICIEL]]</f>
        <v>-22260</v>
      </c>
      <c r="H57" s="153" t="s">
        <v>161</v>
      </c>
    </row>
    <row r="58" spans="1:8" ht="36.6" thickBot="1">
      <c r="A58" s="159"/>
      <c r="B58" s="108" t="s">
        <v>124</v>
      </c>
      <c r="C58" s="152">
        <v>65737</v>
      </c>
      <c r="D58" s="149">
        <v>65637</v>
      </c>
      <c r="E58" s="149">
        <f>65637+2850</f>
        <v>68487</v>
      </c>
      <c r="F58" s="149"/>
      <c r="G58" s="149">
        <f>Tableau10[[#This Row],[VERSEMENT]]+Tableau10[[#This Row],[CHARGE]]-Tableau10[[#This Row],[T.LOGICIEL]]</f>
        <v>2850</v>
      </c>
      <c r="H58" s="153" t="s">
        <v>162</v>
      </c>
    </row>
    <row r="59" spans="1:8" ht="19.2" thickTop="1" thickBot="1">
      <c r="A59" s="165"/>
      <c r="B59" s="161"/>
      <c r="C59" s="162"/>
      <c r="D59" s="163" t="s">
        <v>125</v>
      </c>
      <c r="E59" s="163">
        <f>SUBTOTAL(9,E55:E58)</f>
        <v>544938</v>
      </c>
      <c r="F59" s="163">
        <f t="shared" ref="F59:G59" si="8">SUBTOTAL(9,F55:F58)</f>
        <v>0</v>
      </c>
      <c r="G59" s="163">
        <f t="shared" si="8"/>
        <v>-23540</v>
      </c>
      <c r="H59" s="164"/>
    </row>
    <row r="60" spans="1:8" ht="18.600000000000001" thickTop="1">
      <c r="A60" s="181">
        <v>45944</v>
      </c>
      <c r="B60" s="108" t="s">
        <v>59</v>
      </c>
      <c r="C60" s="152"/>
      <c r="D60" s="149">
        <v>241856</v>
      </c>
      <c r="E60" s="149">
        <f>241856</f>
        <v>241856</v>
      </c>
      <c r="F60" s="149"/>
      <c r="G60" s="149">
        <f>Tableau10[[#This Row],[VERSEMENT]]+Tableau10[[#This Row],[CHARGE]]-Tableau10[[#This Row],[T.LOGICIEL]]</f>
        <v>0</v>
      </c>
      <c r="H60" s="153"/>
    </row>
    <row r="61" spans="1:8" ht="72">
      <c r="A61" s="159"/>
      <c r="B61" s="108" t="s">
        <v>122</v>
      </c>
      <c r="C61" s="152">
        <v>130056</v>
      </c>
      <c r="D61" s="149">
        <v>128841</v>
      </c>
      <c r="E61" s="149">
        <f>128805+4290+17890+2000+235</f>
        <v>153220</v>
      </c>
      <c r="F61" s="149"/>
      <c r="G61" s="149">
        <f>Tableau10[[#This Row],[VERSEMENT]]+Tableau10[[#This Row],[CHARGE]]-Tableau10[[#This Row],[T.LOGICIEL]]</f>
        <v>24379</v>
      </c>
      <c r="H61" s="153" t="s">
        <v>163</v>
      </c>
    </row>
    <row r="62" spans="1:8" ht="18">
      <c r="A62" s="159"/>
      <c r="B62" s="108" t="s">
        <v>120</v>
      </c>
      <c r="C62" s="152">
        <v>204578</v>
      </c>
      <c r="D62" s="149">
        <v>203908</v>
      </c>
      <c r="E62" s="149">
        <v>203770</v>
      </c>
      <c r="F62" s="149"/>
      <c r="G62" s="149">
        <f>Tableau10[[#This Row],[VERSEMENT]]+Tableau10[[#This Row],[CHARGE]]-Tableau10[[#This Row],[T.LOGICIEL]]</f>
        <v>-138</v>
      </c>
      <c r="H62" s="153" t="s">
        <v>164</v>
      </c>
    </row>
    <row r="63" spans="1:8" ht="18.600000000000001" thickBot="1">
      <c r="A63" s="159"/>
      <c r="B63" s="108" t="s">
        <v>124</v>
      </c>
      <c r="C63" s="152">
        <v>105785</v>
      </c>
      <c r="D63" s="149">
        <v>105785</v>
      </c>
      <c r="E63" s="149">
        <f>105775-1000</f>
        <v>104775</v>
      </c>
      <c r="F63" s="149">
        <v>1000</v>
      </c>
      <c r="G63" s="149">
        <f>Tableau10[[#This Row],[VERSEMENT]]+Tableau10[[#This Row],[CHARGE]]-Tableau10[[#This Row],[T.LOGICIEL]]</f>
        <v>-10</v>
      </c>
      <c r="H63" s="153" t="s">
        <v>165</v>
      </c>
    </row>
    <row r="64" spans="1:8" ht="19.2" thickTop="1" thickBot="1">
      <c r="A64" s="165"/>
      <c r="B64" s="161"/>
      <c r="C64" s="162"/>
      <c r="D64" s="163" t="s">
        <v>125</v>
      </c>
      <c r="E64" s="163">
        <f>SUBTOTAL(9,E60:E63)</f>
        <v>703621</v>
      </c>
      <c r="F64" s="163">
        <f t="shared" ref="F64:G64" si="9">SUBTOTAL(9,F60:F63)</f>
        <v>1000</v>
      </c>
      <c r="G64" s="163">
        <f t="shared" si="9"/>
        <v>24231</v>
      </c>
      <c r="H64" s="164"/>
    </row>
    <row r="65" spans="1:9" ht="18.600000000000001" thickTop="1">
      <c r="A65" s="159">
        <v>45945</v>
      </c>
      <c r="B65" s="108" t="s">
        <v>59</v>
      </c>
      <c r="C65" s="152"/>
      <c r="D65" s="149">
        <v>137298</v>
      </c>
      <c r="E65" s="149">
        <f>137300</f>
        <v>137300</v>
      </c>
      <c r="F65" s="149"/>
      <c r="G65" s="149">
        <f>Tableau10[[#This Row],[VERSEMENT]]+Tableau10[[#This Row],[CHARGE]]-Tableau10[[#This Row],[T.LOGICIEL]]</f>
        <v>2</v>
      </c>
      <c r="H65" s="153"/>
      <c r="I65" s="207"/>
    </row>
    <row r="66" spans="1:9" ht="36">
      <c r="A66" s="159"/>
      <c r="B66" s="108" t="s">
        <v>122</v>
      </c>
      <c r="C66" s="152">
        <f>187708</f>
        <v>187708</v>
      </c>
      <c r="D66" s="149">
        <v>174015</v>
      </c>
      <c r="E66" s="149">
        <f>(27035+4245)+136170</f>
        <v>167450</v>
      </c>
      <c r="F66" s="149">
        <v>1000</v>
      </c>
      <c r="G66" s="149">
        <f>Tableau10[[#This Row],[VERSEMENT]]+Tableau10[[#This Row],[CHARGE]]-Tableau10[[#This Row],[T.LOGICIEL]]</f>
        <v>-5565</v>
      </c>
      <c r="H66" s="153" t="s">
        <v>166</v>
      </c>
      <c r="I66" s="207"/>
    </row>
    <row r="67" spans="1:9" ht="54">
      <c r="A67" s="159"/>
      <c r="B67" s="108" t="s">
        <v>120</v>
      </c>
      <c r="C67" s="152">
        <v>95665</v>
      </c>
      <c r="D67" s="149">
        <f>168580-76800</f>
        <v>91780</v>
      </c>
      <c r="E67" s="149">
        <f>91780-(700+1800+1410)-1200+12440</f>
        <v>99110</v>
      </c>
      <c r="F67" s="149">
        <f>700+1800+1410</f>
        <v>3910</v>
      </c>
      <c r="G67" s="149">
        <f>Tableau10[[#This Row],[VERSEMENT]]+Tableau10[[#This Row],[CHARGE]]-Tableau10[[#This Row],[T.LOGICIEL]]</f>
        <v>11240</v>
      </c>
      <c r="H67" s="153" t="s">
        <v>167</v>
      </c>
      <c r="I67" s="151"/>
    </row>
    <row r="68" spans="1:9" ht="54.6" thickBot="1">
      <c r="A68" s="159"/>
      <c r="B68" s="108" t="s">
        <v>124</v>
      </c>
      <c r="C68" s="152">
        <v>112005</v>
      </c>
      <c r="D68" s="149">
        <f>111600</f>
        <v>111600</v>
      </c>
      <c r="E68" s="149">
        <f>101120-1000+10480+(435+22950+11020)</f>
        <v>145005</v>
      </c>
      <c r="F68" s="149">
        <v>1000</v>
      </c>
      <c r="G68" s="149">
        <f>Tableau10[[#This Row],[VERSEMENT]]+Tableau10[[#This Row],[CHARGE]]-Tableau10[[#This Row],[T.LOGICIEL]]</f>
        <v>34405</v>
      </c>
      <c r="H68" s="153" t="s">
        <v>168</v>
      </c>
      <c r="I68" s="207"/>
    </row>
    <row r="69" spans="1:9" ht="19.2" thickTop="1" thickBot="1">
      <c r="A69" s="165"/>
      <c r="B69" s="161"/>
      <c r="C69" s="162"/>
      <c r="D69" s="163" t="s">
        <v>125</v>
      </c>
      <c r="E69" s="163">
        <f>SUBTOTAL(9,E65:E68)</f>
        <v>548865</v>
      </c>
      <c r="F69" s="163">
        <f t="shared" ref="F69:G69" si="10">SUBTOTAL(9,F65:F68)</f>
        <v>5910</v>
      </c>
      <c r="G69" s="163">
        <f t="shared" si="10"/>
        <v>40082</v>
      </c>
      <c r="H69" s="164"/>
      <c r="I69" s="207"/>
    </row>
    <row r="70" spans="1:9" ht="18.600000000000001" thickTop="1">
      <c r="A70" s="159">
        <v>45946</v>
      </c>
      <c r="B70" s="108" t="s">
        <v>59</v>
      </c>
      <c r="C70" s="152"/>
      <c r="D70" s="149">
        <f>178035-916</f>
        <v>177119</v>
      </c>
      <c r="E70" s="149">
        <v>177120</v>
      </c>
      <c r="F70" s="149"/>
      <c r="G70" s="149">
        <f>Tableau10[[#This Row],[VERSEMENT]]+Tableau10[[#This Row],[CHARGE]]-Tableau10[[#This Row],[T.LOGICIEL]]</f>
        <v>1</v>
      </c>
      <c r="H70" s="153"/>
      <c r="I70" s="207"/>
    </row>
    <row r="71" spans="1:9" ht="36">
      <c r="A71" s="159"/>
      <c r="B71" s="108" t="s">
        <v>122</v>
      </c>
      <c r="C71" s="152">
        <v>151649</v>
      </c>
      <c r="D71" s="149">
        <v>150404</v>
      </c>
      <c r="E71" s="149">
        <f>150400+(400+1000)</f>
        <v>151800</v>
      </c>
      <c r="F71" s="149"/>
      <c r="G71" s="149">
        <f>Tableau10[[#This Row],[VERSEMENT]]+Tableau10[[#This Row],[CHARGE]]-Tableau10[[#This Row],[T.LOGICIEL]]</f>
        <v>1396</v>
      </c>
      <c r="H71" s="153" t="s">
        <v>169</v>
      </c>
      <c r="I71" s="207"/>
    </row>
    <row r="72" spans="1:9" ht="18">
      <c r="A72" s="159"/>
      <c r="B72" s="108" t="s">
        <v>120</v>
      </c>
      <c r="C72" s="152">
        <v>268003</v>
      </c>
      <c r="D72" s="182"/>
      <c r="E72" s="182"/>
      <c r="F72" s="149"/>
      <c r="G72" s="149">
        <f>Tableau10[[#This Row],[VERSEMENT]]+Tableau10[[#This Row],[CHARGE]]-Tableau10[[#This Row],[T.LOGICIEL]]</f>
        <v>0</v>
      </c>
      <c r="H72" s="153" t="s">
        <v>170</v>
      </c>
      <c r="I72" s="207"/>
    </row>
    <row r="73" spans="1:9" ht="36">
      <c r="A73" s="159"/>
      <c r="B73" s="108" t="s">
        <v>124</v>
      </c>
      <c r="C73" s="152"/>
      <c r="D73" s="149">
        <v>241559</v>
      </c>
      <c r="E73" s="149">
        <f>241010-1000</f>
        <v>240010</v>
      </c>
      <c r="F73" s="149">
        <v>1500</v>
      </c>
      <c r="G73" s="149">
        <f>Tableau10[[#This Row],[VERSEMENT]]+Tableau10[[#This Row],[CHARGE]]-Tableau10[[#This Row],[T.LOGICIEL]]</f>
        <v>-49</v>
      </c>
      <c r="H73" s="153" t="s">
        <v>171</v>
      </c>
      <c r="I73" s="207"/>
    </row>
    <row r="74" spans="1:9" ht="36.6" thickBot="1">
      <c r="A74" s="159"/>
      <c r="B74" s="108" t="s">
        <v>124</v>
      </c>
      <c r="C74" s="152">
        <v>505252</v>
      </c>
      <c r="D74" s="149">
        <v>257303</v>
      </c>
      <c r="E74" s="149">
        <f>242820</f>
        <v>242820</v>
      </c>
      <c r="F74" s="149">
        <v>5000</v>
      </c>
      <c r="G74" s="149">
        <f>Tableau10[[#This Row],[VERSEMENT]]+Tableau10[[#This Row],[CHARGE]]-Tableau10[[#This Row],[T.LOGICIEL]]</f>
        <v>-9483</v>
      </c>
      <c r="H74" s="153" t="s">
        <v>172</v>
      </c>
      <c r="I74" s="207"/>
    </row>
    <row r="75" spans="1:9" ht="19.2" thickTop="1" thickBot="1">
      <c r="A75" s="165"/>
      <c r="B75" s="161"/>
      <c r="C75" s="162"/>
      <c r="D75" s="163" t="s">
        <v>125</v>
      </c>
      <c r="E75" s="163">
        <f>SUBTOTAL(9,E70:E74)</f>
        <v>811750</v>
      </c>
      <c r="F75" s="163">
        <f>SUBTOTAL(9,F70:F74)</f>
        <v>6500</v>
      </c>
      <c r="G75" s="163">
        <f>SUBTOTAL(9,G70:G74)</f>
        <v>-8135</v>
      </c>
      <c r="H75" s="164"/>
      <c r="I75" s="207"/>
    </row>
    <row r="76" spans="1:9" ht="18.600000000000001" thickTop="1">
      <c r="A76" s="159">
        <v>45948</v>
      </c>
      <c r="B76" s="108" t="s">
        <v>59</v>
      </c>
      <c r="C76" s="152"/>
      <c r="D76" s="149">
        <v>219772</v>
      </c>
      <c r="E76" s="149">
        <v>219770</v>
      </c>
      <c r="F76" s="149"/>
      <c r="G76" s="149">
        <f>Tableau10[[#This Row],[VERSEMENT]]+Tableau10[[#This Row],[CHARGE]]-Tableau10[[#This Row],[T.LOGICIEL]]</f>
        <v>-2</v>
      </c>
      <c r="H76" s="153"/>
      <c r="I76" s="207"/>
    </row>
    <row r="77" spans="1:9" ht="18">
      <c r="A77" s="159"/>
      <c r="B77" s="108" t="s">
        <v>122</v>
      </c>
      <c r="C77" s="152">
        <v>183576</v>
      </c>
      <c r="D77" s="149">
        <v>174627</v>
      </c>
      <c r="E77" s="149">
        <v>174430</v>
      </c>
      <c r="F77" s="149"/>
      <c r="G77" s="149">
        <f>Tableau10[[#This Row],[VERSEMENT]]+Tableau10[[#This Row],[CHARGE]]-Tableau10[[#This Row],[T.LOGICIEL]]</f>
        <v>-197</v>
      </c>
      <c r="H77" s="153" t="s">
        <v>173</v>
      </c>
      <c r="I77" s="207"/>
    </row>
    <row r="78" spans="1:9" ht="18">
      <c r="A78" s="159"/>
      <c r="B78" s="108" t="s">
        <v>120</v>
      </c>
      <c r="C78" s="152">
        <v>238617</v>
      </c>
      <c r="D78" s="149">
        <v>236650</v>
      </c>
      <c r="E78" s="149">
        <v>236620</v>
      </c>
      <c r="F78" s="149"/>
      <c r="G78" s="149">
        <f>Tableau10[[#This Row],[VERSEMENT]]+Tableau10[[#This Row],[CHARGE]]-Tableau10[[#This Row],[T.LOGICIEL]]</f>
        <v>-30</v>
      </c>
      <c r="H78" s="153" t="s">
        <v>174</v>
      </c>
      <c r="I78" s="207"/>
    </row>
    <row r="79" spans="1:9" ht="18">
      <c r="A79" s="159"/>
      <c r="B79" s="108" t="s">
        <v>124</v>
      </c>
      <c r="C79" s="152">
        <v>215523</v>
      </c>
      <c r="D79" s="149">
        <v>215523</v>
      </c>
      <c r="E79" s="149">
        <f>215500-5000</f>
        <v>210500</v>
      </c>
      <c r="F79" s="149"/>
      <c r="G79" s="149">
        <f>Tableau10[[#This Row],[VERSEMENT]]+Tableau10[[#This Row],[CHARGE]]-Tableau10[[#This Row],[T.LOGICIEL]]</f>
        <v>-5023</v>
      </c>
      <c r="H79" s="153" t="s">
        <v>175</v>
      </c>
      <c r="I79" s="207"/>
    </row>
    <row r="80" spans="1:9" ht="54.6" thickBot="1">
      <c r="A80" s="159"/>
      <c r="B80" s="108" t="s">
        <v>176</v>
      </c>
      <c r="C80" s="152"/>
      <c r="D80" s="149">
        <f>5000+4000+1000+200</f>
        <v>10200</v>
      </c>
      <c r="E80" s="149">
        <f>5000+4000+1000+200</f>
        <v>10200</v>
      </c>
      <c r="F80" s="149"/>
      <c r="G80" s="149">
        <f>Tableau10[[#This Row],[VERSEMENT]]+Tableau10[[#This Row],[CHARGE]]-Tableau10[[#This Row],[T.LOGICIEL]]</f>
        <v>0</v>
      </c>
      <c r="H80" s="153" t="s">
        <v>177</v>
      </c>
      <c r="I80" s="207"/>
    </row>
    <row r="81" spans="1:8" ht="19.2" thickTop="1" thickBot="1">
      <c r="A81" s="165"/>
      <c r="B81" s="161"/>
      <c r="C81" s="162"/>
      <c r="D81" s="163" t="s">
        <v>125</v>
      </c>
      <c r="E81" s="163">
        <f>SUBTOTAL(9,E76:E80)</f>
        <v>851520</v>
      </c>
      <c r="F81" s="163">
        <f>SUBTOTAL(9,F76:F80)</f>
        <v>0</v>
      </c>
      <c r="G81" s="163">
        <f>SUBTOTAL(9,G76:G80)</f>
        <v>-5252</v>
      </c>
      <c r="H81" s="164"/>
    </row>
    <row r="82" spans="1:8" ht="18.600000000000001" thickTop="1">
      <c r="A82" s="159">
        <v>45949</v>
      </c>
      <c r="B82" s="108" t="s">
        <v>59</v>
      </c>
      <c r="C82" s="152"/>
      <c r="D82" s="149">
        <v>160583</v>
      </c>
      <c r="E82" s="149">
        <v>160580</v>
      </c>
      <c r="F82" s="149"/>
      <c r="G82" s="149">
        <f>Tableau10[[#This Row],[VERSEMENT]]+Tableau10[[#This Row],[CHARGE]]-Tableau10[[#This Row],[T.LOGICIEL]]</f>
        <v>-3</v>
      </c>
      <c r="H82" s="153"/>
    </row>
    <row r="83" spans="1:8" ht="36">
      <c r="A83" s="159"/>
      <c r="B83" s="108" t="s">
        <v>122</v>
      </c>
      <c r="C83" s="152">
        <v>189606</v>
      </c>
      <c r="D83" s="149">
        <v>185195</v>
      </c>
      <c r="E83" s="149">
        <v>138685</v>
      </c>
      <c r="F83" s="149"/>
      <c r="G83" s="149">
        <f>Tableau10[[#This Row],[VERSEMENT]]+Tableau10[[#This Row],[CHARGE]]-Tableau10[[#This Row],[T.LOGICIEL]]</f>
        <v>-46510</v>
      </c>
      <c r="H83" s="153" t="s">
        <v>178</v>
      </c>
    </row>
    <row r="84" spans="1:8" ht="18">
      <c r="A84" s="159"/>
      <c r="B84" s="108" t="s">
        <v>120</v>
      </c>
      <c r="C84" s="152">
        <f>20698+9255+18280+21800</f>
        <v>70033</v>
      </c>
      <c r="D84" s="149">
        <v>69713</v>
      </c>
      <c r="E84" s="149">
        <v>69700</v>
      </c>
      <c r="F84" s="149"/>
      <c r="G84" s="149">
        <f>Tableau10[[#This Row],[VERSEMENT]]+Tableau10[[#This Row],[CHARGE]]-Tableau10[[#This Row],[T.LOGICIEL]]</f>
        <v>-13</v>
      </c>
      <c r="H84" s="153" t="s">
        <v>179</v>
      </c>
    </row>
    <row r="85" spans="1:8" ht="18">
      <c r="A85" s="159"/>
      <c r="B85" s="108" t="s">
        <v>124</v>
      </c>
      <c r="C85" s="152">
        <v>232279</v>
      </c>
      <c r="D85" s="149">
        <v>232179</v>
      </c>
      <c r="E85" s="149">
        <f>231145</f>
        <v>231145</v>
      </c>
      <c r="F85" s="149">
        <v>1000</v>
      </c>
      <c r="G85" s="149">
        <f>Tableau10[[#This Row],[VERSEMENT]]+Tableau10[[#This Row],[CHARGE]]-Tableau10[[#This Row],[T.LOGICIEL]]</f>
        <v>-34</v>
      </c>
      <c r="H85" s="153" t="s">
        <v>180</v>
      </c>
    </row>
    <row r="86" spans="1:8" ht="18.600000000000001" thickBot="1">
      <c r="A86" s="159"/>
      <c r="B86" s="108" t="s">
        <v>176</v>
      </c>
      <c r="C86" s="152"/>
      <c r="D86" s="149"/>
      <c r="E86" s="149">
        <f>200-5000</f>
        <v>-4800</v>
      </c>
      <c r="F86" s="149"/>
      <c r="G86" s="149">
        <f>Tableau10[[#This Row],[VERSEMENT]]+Tableau10[[#This Row],[CHARGE]]-Tableau10[[#This Row],[T.LOGICIEL]]</f>
        <v>-4800</v>
      </c>
      <c r="H86" s="153" t="s">
        <v>181</v>
      </c>
    </row>
    <row r="87" spans="1:8" ht="19.2" thickTop="1" thickBot="1">
      <c r="A87" s="165"/>
      <c r="B87" s="161"/>
      <c r="C87" s="162"/>
      <c r="D87" s="163" t="s">
        <v>125</v>
      </c>
      <c r="E87" s="163">
        <f>SUBTOTAL(9,E82:E86)</f>
        <v>595310</v>
      </c>
      <c r="F87" s="163">
        <f>SUBTOTAL(9,F82:F86)</f>
        <v>1000</v>
      </c>
      <c r="G87" s="163">
        <f>SUBTOTAL(9,G82:G86)</f>
        <v>-51360</v>
      </c>
      <c r="H87" s="164"/>
    </row>
    <row r="88" spans="1:8" ht="18.600000000000001" thickTop="1">
      <c r="A88" s="159">
        <v>45950</v>
      </c>
      <c r="B88" s="108" t="s">
        <v>59</v>
      </c>
      <c r="C88" s="152"/>
      <c r="D88" s="149">
        <f>173109</f>
        <v>173109</v>
      </c>
      <c r="E88" s="149">
        <v>171110</v>
      </c>
      <c r="F88" s="149"/>
      <c r="G88" s="149">
        <f>Tableau10[[#This Row],[VERSEMENT]]+Tableau10[[#This Row],[CHARGE]]-Tableau10[[#This Row],[T.LOGICIEL]]</f>
        <v>-1999</v>
      </c>
      <c r="H88" s="153" t="s">
        <v>182</v>
      </c>
    </row>
    <row r="89" spans="1:8" ht="18">
      <c r="A89" s="159"/>
      <c r="B89" s="108" t="s">
        <v>122</v>
      </c>
      <c r="C89" s="152">
        <v>149621</v>
      </c>
      <c r="D89" s="149">
        <v>149621</v>
      </c>
      <c r="E89" s="149">
        <f>145571+4050</f>
        <v>149621</v>
      </c>
      <c r="F89" s="149"/>
      <c r="G89" s="149">
        <f>Tableau10[[#This Row],[VERSEMENT]]+Tableau10[[#This Row],[CHARGE]]-Tableau10[[#This Row],[T.LOGICIEL]]</f>
        <v>0</v>
      </c>
      <c r="H89" s="153"/>
    </row>
    <row r="90" spans="1:8" ht="36">
      <c r="A90" s="159"/>
      <c r="B90" s="108" t="s">
        <v>120</v>
      </c>
      <c r="C90" s="152">
        <v>243131</v>
      </c>
      <c r="D90" s="149">
        <v>201711</v>
      </c>
      <c r="E90" s="149">
        <v>167250</v>
      </c>
      <c r="F90" s="149">
        <f>2000+1000</f>
        <v>3000</v>
      </c>
      <c r="G90" s="149">
        <f>Tableau10[[#This Row],[VERSEMENT]]+Tableau10[[#This Row],[CHARGE]]-Tableau10[[#This Row],[T.LOGICIEL]]</f>
        <v>-31461</v>
      </c>
      <c r="H90" s="153" t="s">
        <v>183</v>
      </c>
    </row>
    <row r="91" spans="1:8" ht="18">
      <c r="A91" s="159"/>
      <c r="B91" s="108" t="s">
        <v>124</v>
      </c>
      <c r="C91" s="152">
        <f>140400-57600</f>
        <v>82800</v>
      </c>
      <c r="D91" s="149">
        <v>81336</v>
      </c>
      <c r="E91" s="149">
        <v>80310</v>
      </c>
      <c r="F91" s="149">
        <v>1000</v>
      </c>
      <c r="G91" s="149">
        <f>Tableau10[[#This Row],[VERSEMENT]]+Tableau10[[#This Row],[CHARGE]]-Tableau10[[#This Row],[T.LOGICIEL]]</f>
        <v>-26</v>
      </c>
      <c r="H91" s="153" t="s">
        <v>184</v>
      </c>
    </row>
    <row r="92" spans="1:8" ht="54.6" thickBot="1">
      <c r="A92" s="159"/>
      <c r="B92" s="108" t="s">
        <v>176</v>
      </c>
      <c r="C92" s="152"/>
      <c r="D92" s="149">
        <f>6510+40000+2025+3000</f>
        <v>51535</v>
      </c>
      <c r="E92" s="149">
        <f>6510+40000+2025+3000</f>
        <v>51535</v>
      </c>
      <c r="F92" s="149"/>
      <c r="G92" s="149">
        <f>Tableau10[[#This Row],[VERSEMENT]]+Tableau10[[#This Row],[CHARGE]]-Tableau10[[#This Row],[T.LOGICIEL]]</f>
        <v>0</v>
      </c>
      <c r="H92" s="153" t="s">
        <v>185</v>
      </c>
    </row>
    <row r="93" spans="1:8" ht="19.2" thickTop="1" thickBot="1">
      <c r="A93" s="165"/>
      <c r="B93" s="161"/>
      <c r="C93" s="162"/>
      <c r="D93" s="163" t="s">
        <v>125</v>
      </c>
      <c r="E93" s="163">
        <f>SUBTOTAL(9,E88:E92)</f>
        <v>619826</v>
      </c>
      <c r="F93" s="163">
        <f t="shared" ref="F93:G93" si="11">SUBTOTAL(9,F88:F92)</f>
        <v>4000</v>
      </c>
      <c r="G93" s="163">
        <f t="shared" si="11"/>
        <v>-33486</v>
      </c>
      <c r="H93" s="164"/>
    </row>
    <row r="94" spans="1:8" ht="18.600000000000001" thickTop="1">
      <c r="A94" s="159">
        <v>45951</v>
      </c>
      <c r="B94" s="108" t="s">
        <v>59</v>
      </c>
      <c r="C94" s="152"/>
      <c r="D94" s="149">
        <f>238703+2000</f>
        <v>240703</v>
      </c>
      <c r="E94" s="149">
        <v>240755</v>
      </c>
      <c r="F94" s="149"/>
      <c r="G94" s="194">
        <f>Tableau10[[#This Row],[VERSEMENT]]+Tableau10[[#This Row],[CHARGE]]-Tableau10[[#This Row],[T.LOGICIEL]]</f>
        <v>52</v>
      </c>
      <c r="H94" s="153" t="s">
        <v>186</v>
      </c>
    </row>
    <row r="95" spans="1:8" ht="36">
      <c r="A95" s="159"/>
      <c r="B95" s="108" t="s">
        <v>122</v>
      </c>
      <c r="C95" s="152">
        <v>204996</v>
      </c>
      <c r="D95" s="149">
        <v>204176</v>
      </c>
      <c r="E95" s="149">
        <v>180475</v>
      </c>
      <c r="F95" s="149">
        <f>8880+1000</f>
        <v>9880</v>
      </c>
      <c r="G95" s="149">
        <f>Tableau10[[#This Row],[VERSEMENT]]+Tableau10[[#This Row],[CHARGE]]-Tableau10[[#This Row],[T.LOGICIEL]]</f>
        <v>-13821</v>
      </c>
      <c r="H95" s="153" t="s">
        <v>187</v>
      </c>
    </row>
    <row r="96" spans="1:8" ht="18">
      <c r="A96" s="159"/>
      <c r="B96" s="108" t="s">
        <v>120</v>
      </c>
      <c r="C96" s="152">
        <v>236401</v>
      </c>
      <c r="D96" s="149">
        <v>234070</v>
      </c>
      <c r="E96" s="149">
        <v>218065</v>
      </c>
      <c r="F96" s="149">
        <v>1500</v>
      </c>
      <c r="G96" s="149">
        <f>Tableau10[[#This Row],[VERSEMENT]]+Tableau10[[#This Row],[CHARGE]]-Tableau10[[#This Row],[T.LOGICIEL]]</f>
        <v>-14505</v>
      </c>
      <c r="H96" s="153" t="s">
        <v>188</v>
      </c>
    </row>
    <row r="97" spans="1:8" ht="18">
      <c r="A97" s="159"/>
      <c r="B97" s="108" t="s">
        <v>124</v>
      </c>
      <c r="C97" s="152">
        <v>150199</v>
      </c>
      <c r="D97" s="149">
        <v>150199</v>
      </c>
      <c r="E97" s="149">
        <v>149150</v>
      </c>
      <c r="F97" s="149">
        <v>1000</v>
      </c>
      <c r="G97" s="149">
        <f>Tableau10[[#This Row],[VERSEMENT]]+Tableau10[[#This Row],[CHARGE]]-Tableau10[[#This Row],[T.LOGICIEL]]</f>
        <v>-49</v>
      </c>
      <c r="H97" s="153" t="s">
        <v>180</v>
      </c>
    </row>
    <row r="98" spans="1:8" ht="36.6" thickBot="1">
      <c r="A98" s="159"/>
      <c r="B98" s="108" t="s">
        <v>176</v>
      </c>
      <c r="C98" s="152"/>
      <c r="D98" s="149">
        <f>13740-(100000+2000)</f>
        <v>-88260</v>
      </c>
      <c r="E98" s="149">
        <f>13740-(100000+2000)</f>
        <v>-88260</v>
      </c>
      <c r="F98" s="149"/>
      <c r="G98" s="149">
        <f>Tableau10[[#This Row],[VERSEMENT]]+Tableau10[[#This Row],[CHARGE]]-Tableau10[[#This Row],[T.LOGICIEL]]</f>
        <v>0</v>
      </c>
      <c r="H98" s="153" t="s">
        <v>189</v>
      </c>
    </row>
    <row r="99" spans="1:8" ht="19.2" thickTop="1" thickBot="1">
      <c r="A99" s="165"/>
      <c r="B99" s="161"/>
      <c r="C99" s="162"/>
      <c r="D99" s="163" t="s">
        <v>125</v>
      </c>
      <c r="E99" s="163">
        <f>SUBTOTAL(9,E94:E98)</f>
        <v>700185</v>
      </c>
      <c r="F99" s="163">
        <f t="shared" ref="F99:G99" si="12">SUBTOTAL(9,F94:F98)</f>
        <v>12380</v>
      </c>
      <c r="G99" s="163">
        <f t="shared" si="12"/>
        <v>-28323</v>
      </c>
      <c r="H99" s="164"/>
    </row>
    <row r="100" spans="1:8" ht="18.600000000000001" thickTop="1">
      <c r="A100" s="159">
        <v>45952</v>
      </c>
      <c r="B100" s="108" t="s">
        <v>59</v>
      </c>
      <c r="C100" s="152"/>
      <c r="D100" s="149">
        <f>203733-1440</f>
        <v>202293</v>
      </c>
      <c r="E100" s="149">
        <v>202195</v>
      </c>
      <c r="F100" s="149"/>
      <c r="G100" s="149">
        <f>Tableau10[[#This Row],[VERSEMENT]]+Tableau10[[#This Row],[CHARGE]]-Tableau10[[#This Row],[T.LOGICIEL]]</f>
        <v>-98</v>
      </c>
      <c r="H100" s="153"/>
    </row>
    <row r="101" spans="1:8" ht="36">
      <c r="A101" s="159"/>
      <c r="B101" s="108" t="s">
        <v>122</v>
      </c>
      <c r="C101" s="152">
        <v>158571</v>
      </c>
      <c r="D101" s="149">
        <f>150222</f>
        <v>150222</v>
      </c>
      <c r="E101" s="149">
        <f>139955-40</f>
        <v>139915</v>
      </c>
      <c r="F101" s="149"/>
      <c r="G101" s="149">
        <f>Tableau10[[#This Row],[VERSEMENT]]+Tableau10[[#This Row],[CHARGE]]-Tableau10[[#This Row],[T.LOGICIEL]]</f>
        <v>-10307</v>
      </c>
      <c r="H101" s="153" t="s">
        <v>190</v>
      </c>
    </row>
    <row r="102" spans="1:8" ht="18">
      <c r="A102" s="159"/>
      <c r="B102" s="108" t="s">
        <v>120</v>
      </c>
      <c r="C102" s="152"/>
      <c r="D102" s="149">
        <v>249114</v>
      </c>
      <c r="E102" s="149">
        <v>249195</v>
      </c>
      <c r="F102" s="149"/>
      <c r="G102" s="149">
        <f>Tableau10[[#This Row],[VERSEMENT]]+Tableau10[[#This Row],[CHARGE]]-Tableau10[[#This Row],[T.LOGICIEL]]</f>
        <v>81</v>
      </c>
      <c r="H102" s="153" t="s">
        <v>191</v>
      </c>
    </row>
    <row r="103" spans="1:8" ht="18">
      <c r="A103" s="159"/>
      <c r="B103" s="108" t="s">
        <v>120</v>
      </c>
      <c r="C103" s="152"/>
      <c r="D103" s="149">
        <v>122260</v>
      </c>
      <c r="E103" s="149">
        <v>122260</v>
      </c>
      <c r="F103" s="149"/>
      <c r="G103" s="149">
        <f>Tableau10[[#This Row],[VERSEMENT]]+Tableau10[[#This Row],[CHARGE]]-Tableau10[[#This Row],[T.LOGICIEL]]</f>
        <v>0</v>
      </c>
      <c r="H103" s="153"/>
    </row>
    <row r="104" spans="1:8" ht="18">
      <c r="A104" s="159"/>
      <c r="B104" s="108" t="s">
        <v>124</v>
      </c>
      <c r="C104" s="152">
        <v>88207</v>
      </c>
      <c r="D104" s="149">
        <v>88207</v>
      </c>
      <c r="E104" s="149">
        <f>88207</f>
        <v>88207</v>
      </c>
      <c r="F104" s="149"/>
      <c r="G104" s="149">
        <f>Tableau10[[#This Row],[VERSEMENT]]+Tableau10[[#This Row],[CHARGE]]-Tableau10[[#This Row],[T.LOGICIEL]]</f>
        <v>0</v>
      </c>
      <c r="H104" s="153"/>
    </row>
    <row r="105" spans="1:8" ht="36.6" thickBot="1">
      <c r="A105" s="159"/>
      <c r="B105" s="108" t="s">
        <v>176</v>
      </c>
      <c r="C105" s="152"/>
      <c r="D105" s="149">
        <f>5560+17925-2000</f>
        <v>21485</v>
      </c>
      <c r="E105" s="149">
        <f>5560+17925-2000</f>
        <v>21485</v>
      </c>
      <c r="F105" s="149"/>
      <c r="G105" s="149">
        <f>Tableau10[[#This Row],[VERSEMENT]]+Tableau10[[#This Row],[CHARGE]]-Tableau10[[#This Row],[T.LOGICIEL]]</f>
        <v>0</v>
      </c>
      <c r="H105" s="153" t="s">
        <v>192</v>
      </c>
    </row>
    <row r="106" spans="1:8" ht="19.2" thickTop="1" thickBot="1">
      <c r="A106" s="165"/>
      <c r="B106" s="161"/>
      <c r="C106" s="162"/>
      <c r="D106" s="163" t="s">
        <v>125</v>
      </c>
      <c r="E106" s="163">
        <f>SUBTOTAL(9,E100:E105)</f>
        <v>823257</v>
      </c>
      <c r="F106" s="163">
        <f>SUBTOTAL(9,F100:F105)</f>
        <v>0</v>
      </c>
      <c r="G106" s="163">
        <f>SUBTOTAL(9,G100:G105)</f>
        <v>-10324</v>
      </c>
      <c r="H106" s="164"/>
    </row>
    <row r="107" spans="1:8" ht="18.600000000000001" thickTop="1">
      <c r="A107" s="159">
        <v>45953</v>
      </c>
      <c r="B107" s="108" t="s">
        <v>59</v>
      </c>
      <c r="C107" s="152"/>
      <c r="D107" s="149">
        <v>180537</v>
      </c>
      <c r="E107" s="149">
        <f>180200+50</f>
        <v>180250</v>
      </c>
      <c r="F107" s="149"/>
      <c r="G107" s="149">
        <f>Tableau10[[#This Row],[VERSEMENT]]+Tableau10[[#This Row],[CHARGE]]-Tableau10[[#This Row],[T.LOGICIEL]]</f>
        <v>-287</v>
      </c>
      <c r="H107" s="153"/>
    </row>
    <row r="108" spans="1:8" ht="18">
      <c r="A108" s="159"/>
      <c r="B108" s="108" t="s">
        <v>122</v>
      </c>
      <c r="C108" s="152">
        <f>124104+8050</f>
        <v>132154</v>
      </c>
      <c r="D108" s="149">
        <f>138516-9032</f>
        <v>129484</v>
      </c>
      <c r="E108" s="149">
        <f>121435</f>
        <v>121435</v>
      </c>
      <c r="F108" s="149"/>
      <c r="G108" s="149">
        <f>Tableau10[[#This Row],[VERSEMENT]]+Tableau10[[#This Row],[CHARGE]]-Tableau10[[#This Row],[T.LOGICIEL]]</f>
        <v>-8049</v>
      </c>
      <c r="H108" s="153" t="s">
        <v>193</v>
      </c>
    </row>
    <row r="109" spans="1:8" ht="18">
      <c r="A109" s="159"/>
      <c r="B109" s="108" t="s">
        <v>120</v>
      </c>
      <c r="C109" s="152">
        <v>292046</v>
      </c>
      <c r="D109" s="149">
        <v>291421</v>
      </c>
      <c r="E109" s="149">
        <f>144721+146700</f>
        <v>291421</v>
      </c>
      <c r="F109" s="149"/>
      <c r="G109" s="149">
        <f>Tableau10[[#This Row],[VERSEMENT]]+Tableau10[[#This Row],[CHARGE]]-Tableau10[[#This Row],[T.LOGICIEL]]</f>
        <v>0</v>
      </c>
      <c r="H109" s="153"/>
    </row>
    <row r="110" spans="1:8" ht="18">
      <c r="A110" s="159"/>
      <c r="B110" s="108" t="s">
        <v>124</v>
      </c>
      <c r="C110" s="152">
        <v>215779</v>
      </c>
      <c r="D110" s="149">
        <v>293782</v>
      </c>
      <c r="E110" s="149">
        <v>291780</v>
      </c>
      <c r="F110" s="149">
        <v>1000</v>
      </c>
      <c r="G110" s="149">
        <f>Tableau10[[#This Row],[VERSEMENT]]+Tableau10[[#This Row],[CHARGE]]-Tableau10[[#This Row],[T.LOGICIEL]]</f>
        <v>-1002</v>
      </c>
      <c r="H110" s="153" t="s">
        <v>180</v>
      </c>
    </row>
    <row r="111" spans="1:8" ht="54.6" thickBot="1">
      <c r="A111" s="159"/>
      <c r="B111" s="108" t="s">
        <v>176</v>
      </c>
      <c r="C111" s="152"/>
      <c r="D111" s="149">
        <f>5000+13780+5279-5000</f>
        <v>19059</v>
      </c>
      <c r="E111" s="149">
        <f>5000+13780+5279-5000</f>
        <v>19059</v>
      </c>
      <c r="F111" s="149"/>
      <c r="G111" s="149">
        <f>Tableau10[[#This Row],[VERSEMENT]]+Tableau10[[#This Row],[CHARGE]]-Tableau10[[#This Row],[T.LOGICIEL]]</f>
        <v>0</v>
      </c>
      <c r="H111" s="153" t="s">
        <v>194</v>
      </c>
    </row>
    <row r="112" spans="1:8" ht="19.2" thickTop="1" thickBot="1">
      <c r="A112" s="165"/>
      <c r="B112" s="161"/>
      <c r="C112" s="162"/>
      <c r="D112" s="163" t="s">
        <v>125</v>
      </c>
      <c r="E112" s="163">
        <f>SUBTOTAL(9,E107:E111)</f>
        <v>903945</v>
      </c>
      <c r="F112" s="163">
        <f t="shared" ref="F112:G112" si="13">SUBTOTAL(9,F107:F111)</f>
        <v>1000</v>
      </c>
      <c r="G112" s="163">
        <f t="shared" si="13"/>
        <v>-9338</v>
      </c>
      <c r="H112" s="164"/>
    </row>
    <row r="113" spans="1:8" ht="18.600000000000001" thickTop="1">
      <c r="A113" s="159">
        <v>45955</v>
      </c>
      <c r="B113" s="108" t="s">
        <v>59</v>
      </c>
      <c r="C113" s="152"/>
      <c r="D113" s="149">
        <v>204738</v>
      </c>
      <c r="E113" s="149">
        <f>165000</f>
        <v>165000</v>
      </c>
      <c r="F113" s="149"/>
      <c r="G113" s="149">
        <f>Tableau10[[#This Row],[VERSEMENT]]+Tableau10[[#This Row],[CHARGE]]-Tableau10[[#This Row],[T.LOGICIEL]]</f>
        <v>-39738</v>
      </c>
      <c r="H113" s="153" t="s">
        <v>195</v>
      </c>
    </row>
    <row r="114" spans="1:8" ht="72">
      <c r="A114" s="159"/>
      <c r="B114" s="108" t="s">
        <v>122</v>
      </c>
      <c r="C114" s="152">
        <v>119782</v>
      </c>
      <c r="D114" s="149">
        <v>107122</v>
      </c>
      <c r="E114" s="149">
        <f>107122-10000-17500-3000</f>
        <v>76622</v>
      </c>
      <c r="F114" s="149">
        <f>17500+3000</f>
        <v>20500</v>
      </c>
      <c r="G114" s="149">
        <f>Tableau10[[#This Row],[VERSEMENT]]+Tableau10[[#This Row],[CHARGE]]-Tableau10[[#This Row],[T.LOGICIEL]]</f>
        <v>-10000</v>
      </c>
      <c r="H114" s="153" t="s">
        <v>196</v>
      </c>
    </row>
    <row r="115" spans="1:8" ht="18">
      <c r="A115" s="159"/>
      <c r="B115" s="108" t="s">
        <v>120</v>
      </c>
      <c r="C115" s="152">
        <v>214181</v>
      </c>
      <c r="D115" s="149">
        <v>213386</v>
      </c>
      <c r="E115" s="149">
        <f>208315+5000</f>
        <v>213315</v>
      </c>
      <c r="F115" s="149"/>
      <c r="G115" s="149">
        <f>Tableau10[[#This Row],[VERSEMENT]]+Tableau10[[#This Row],[CHARGE]]-Tableau10[[#This Row],[T.LOGICIEL]]</f>
        <v>-71</v>
      </c>
      <c r="H115" s="153" t="s">
        <v>197</v>
      </c>
    </row>
    <row r="116" spans="1:8" ht="18">
      <c r="A116" s="159"/>
      <c r="B116" s="108" t="s">
        <v>124</v>
      </c>
      <c r="C116" s="152">
        <v>123366</v>
      </c>
      <c r="D116" s="149">
        <v>123366</v>
      </c>
      <c r="E116" s="149">
        <v>122335</v>
      </c>
      <c r="F116" s="149">
        <v>1000</v>
      </c>
      <c r="G116" s="149">
        <f>Tableau10[[#This Row],[VERSEMENT]]+Tableau10[[#This Row],[CHARGE]]-Tableau10[[#This Row],[T.LOGICIEL]]</f>
        <v>-31</v>
      </c>
      <c r="H116" s="153" t="s">
        <v>180</v>
      </c>
    </row>
    <row r="117" spans="1:8" ht="18.600000000000001" thickBot="1">
      <c r="A117" s="159"/>
      <c r="B117" s="108" t="s">
        <v>176</v>
      </c>
      <c r="C117" s="152"/>
      <c r="D117" s="149"/>
      <c r="E117" s="149"/>
      <c r="F117" s="149"/>
      <c r="G117" s="149">
        <f>Tableau10[[#This Row],[VERSEMENT]]+Tableau10[[#This Row],[CHARGE]]-Tableau10[[#This Row],[T.LOGICIEL]]</f>
        <v>0</v>
      </c>
      <c r="H117" s="153"/>
    </row>
    <row r="118" spans="1:8" ht="19.2" thickTop="1" thickBot="1">
      <c r="A118" s="165"/>
      <c r="B118" s="161"/>
      <c r="C118" s="162"/>
      <c r="D118" s="163" t="s">
        <v>125</v>
      </c>
      <c r="E118" s="163">
        <f>SUBTOTAL(9,E113:E117)</f>
        <v>577272</v>
      </c>
      <c r="F118" s="163">
        <f t="shared" ref="F118:G118" si="14">SUBTOTAL(9,F113:F117)</f>
        <v>21500</v>
      </c>
      <c r="G118" s="163">
        <f t="shared" si="14"/>
        <v>-49840</v>
      </c>
      <c r="H118" s="164"/>
    </row>
    <row r="119" spans="1:8" ht="18.600000000000001" thickTop="1">
      <c r="A119" s="159">
        <v>45956</v>
      </c>
      <c r="B119" s="108" t="s">
        <v>59</v>
      </c>
      <c r="C119" s="152"/>
      <c r="D119" s="149">
        <v>183690</v>
      </c>
      <c r="E119" s="149">
        <v>223430</v>
      </c>
      <c r="F119" s="149"/>
      <c r="G119" s="149">
        <f>Tableau10[[#This Row],[VERSEMENT]]+Tableau10[[#This Row],[CHARGE]]-Tableau10[[#This Row],[T.LOGICIEL]]</f>
        <v>39740</v>
      </c>
      <c r="H119" s="153" t="s">
        <v>198</v>
      </c>
    </row>
    <row r="120" spans="1:8" ht="18">
      <c r="A120" s="159"/>
      <c r="B120" s="108" t="s">
        <v>122</v>
      </c>
      <c r="C120" s="152">
        <v>174569</v>
      </c>
      <c r="D120" s="149">
        <f>172319+840</f>
        <v>173159</v>
      </c>
      <c r="E120" s="149">
        <f>172319+840-6150</f>
        <v>167009</v>
      </c>
      <c r="F120" s="149"/>
      <c r="G120" s="149">
        <f>Tableau10[[#This Row],[VERSEMENT]]+Tableau10[[#This Row],[CHARGE]]-Tableau10[[#This Row],[T.LOGICIEL]]</f>
        <v>-6150</v>
      </c>
      <c r="H120" s="153" t="s">
        <v>199</v>
      </c>
    </row>
    <row r="121" spans="1:8" ht="18">
      <c r="A121" s="159"/>
      <c r="B121" s="108" t="s">
        <v>120</v>
      </c>
      <c r="C121" s="152">
        <v>61251</v>
      </c>
      <c r="D121" s="149">
        <f>20314+5514+35423</f>
        <v>61251</v>
      </c>
      <c r="E121" s="149">
        <v>58330</v>
      </c>
      <c r="F121" s="149"/>
      <c r="G121" s="149">
        <f>Tableau10[[#This Row],[VERSEMENT]]+Tableau10[[#This Row],[CHARGE]]-Tableau10[[#This Row],[T.LOGICIEL]]</f>
        <v>-2921</v>
      </c>
      <c r="H121" s="153" t="s">
        <v>200</v>
      </c>
    </row>
    <row r="122" spans="1:8" ht="18">
      <c r="A122" s="159"/>
      <c r="B122" s="108" t="s">
        <v>124</v>
      </c>
      <c r="C122" s="152">
        <v>259197</v>
      </c>
      <c r="D122" s="149">
        <v>245732</v>
      </c>
      <c r="E122" s="149">
        <f>245732-5000</f>
        <v>240732</v>
      </c>
      <c r="F122" s="149">
        <v>5000</v>
      </c>
      <c r="G122" s="149">
        <f>Tableau10[[#This Row],[VERSEMENT]]+Tableau10[[#This Row],[CHARGE]]-Tableau10[[#This Row],[T.LOGICIEL]]</f>
        <v>0</v>
      </c>
      <c r="H122" s="153" t="s">
        <v>201</v>
      </c>
    </row>
    <row r="123" spans="1:8" ht="18.600000000000001" thickBot="1">
      <c r="A123" s="159"/>
      <c r="B123" s="108" t="s">
        <v>176</v>
      </c>
      <c r="C123" s="152"/>
      <c r="D123" s="149"/>
      <c r="E123" s="149"/>
      <c r="F123" s="149"/>
      <c r="G123" s="149">
        <f>Tableau10[[#This Row],[VERSEMENT]]+Tableau10[[#This Row],[CHARGE]]-Tableau10[[#This Row],[T.LOGICIEL]]</f>
        <v>0</v>
      </c>
      <c r="H123" s="153"/>
    </row>
    <row r="124" spans="1:8" ht="19.2" thickTop="1" thickBot="1">
      <c r="A124" s="165"/>
      <c r="B124" s="161"/>
      <c r="C124" s="162"/>
      <c r="D124" s="163" t="s">
        <v>125</v>
      </c>
      <c r="E124" s="163">
        <f>SUBTOTAL(9,E119:E123)</f>
        <v>689501</v>
      </c>
      <c r="F124" s="163">
        <f t="shared" ref="F124:G124" si="15">SUBTOTAL(9,F119:F123)</f>
        <v>5000</v>
      </c>
      <c r="G124" s="163">
        <f t="shared" si="15"/>
        <v>30669</v>
      </c>
      <c r="H124" s="164"/>
    </row>
    <row r="125" spans="1:8" ht="18.600000000000001" thickTop="1">
      <c r="A125" s="159">
        <v>45957</v>
      </c>
      <c r="B125" s="108" t="s">
        <v>59</v>
      </c>
      <c r="C125" s="152"/>
      <c r="D125" s="149">
        <v>258570</v>
      </c>
      <c r="E125" s="149">
        <v>249270</v>
      </c>
      <c r="F125" s="149"/>
      <c r="G125" s="149">
        <f>Tableau10[[#This Row],[VERSEMENT]]+Tableau10[[#This Row],[CHARGE]]-Tableau10[[#This Row],[T.LOGICIEL]]</f>
        <v>-9300</v>
      </c>
      <c r="H125" s="153" t="s">
        <v>202</v>
      </c>
    </row>
    <row r="126" spans="1:8" ht="18">
      <c r="A126" s="159"/>
      <c r="B126" s="108" t="s">
        <v>122</v>
      </c>
      <c r="C126" s="152">
        <v>104711</v>
      </c>
      <c r="D126" s="149">
        <f>202411-97700</f>
        <v>104711</v>
      </c>
      <c r="E126" s="149">
        <f>104705-5000</f>
        <v>99705</v>
      </c>
      <c r="F126" s="149">
        <v>5000</v>
      </c>
      <c r="G126" s="149">
        <f>Tableau10[[#This Row],[VERSEMENT]]+Tableau10[[#This Row],[CHARGE]]-Tableau10[[#This Row],[T.LOGICIEL]]</f>
        <v>-6</v>
      </c>
      <c r="H126" s="153" t="s">
        <v>201</v>
      </c>
    </row>
    <row r="127" spans="1:8" ht="18">
      <c r="A127" s="159"/>
      <c r="B127" s="108" t="s">
        <v>120</v>
      </c>
      <c r="C127" s="152">
        <v>161505</v>
      </c>
      <c r="D127" s="149">
        <v>160695</v>
      </c>
      <c r="E127" s="149">
        <f>116665+23000</f>
        <v>139665</v>
      </c>
      <c r="F127" s="149"/>
      <c r="G127" s="149">
        <f>Tableau10[[#This Row],[VERSEMENT]]+Tableau10[[#This Row],[CHARGE]]-Tableau10[[#This Row],[T.LOGICIEL]]</f>
        <v>-21030</v>
      </c>
      <c r="H127" s="153" t="s">
        <v>203</v>
      </c>
    </row>
    <row r="128" spans="1:8" ht="18">
      <c r="A128" s="159"/>
      <c r="B128" s="108" t="s">
        <v>124</v>
      </c>
      <c r="C128" s="152">
        <f>227901-173100</f>
        <v>54801</v>
      </c>
      <c r="D128" s="149">
        <f>54801+(99000-800)</f>
        <v>153001</v>
      </c>
      <c r="E128" s="149">
        <f>54800+98200</f>
        <v>153000</v>
      </c>
      <c r="F128" s="149"/>
      <c r="G128" s="149">
        <f>Tableau10[[#This Row],[VERSEMENT]]+Tableau10[[#This Row],[CHARGE]]-Tableau10[[#This Row],[T.LOGICIEL]]</f>
        <v>-1</v>
      </c>
      <c r="H128" s="153"/>
    </row>
    <row r="129" spans="1:8" ht="36.6" thickBot="1">
      <c r="A129" s="159"/>
      <c r="B129" s="108" t="s">
        <v>176</v>
      </c>
      <c r="C129" s="152"/>
      <c r="D129" s="149">
        <f>6150+17730-5000</f>
        <v>18880</v>
      </c>
      <c r="E129" s="149">
        <f>6150+17730-5000</f>
        <v>18880</v>
      </c>
      <c r="F129" s="149"/>
      <c r="G129" s="149">
        <f>Tableau10[[#This Row],[VERSEMENT]]+Tableau10[[#This Row],[CHARGE]]-Tableau10[[#This Row],[T.LOGICIEL]]</f>
        <v>0</v>
      </c>
      <c r="H129" s="153" t="s">
        <v>204</v>
      </c>
    </row>
    <row r="130" spans="1:8" ht="19.2" thickTop="1" thickBot="1">
      <c r="A130" s="165"/>
      <c r="B130" s="161"/>
      <c r="C130" s="162"/>
      <c r="D130" s="163" t="s">
        <v>125</v>
      </c>
      <c r="E130" s="163">
        <f>SUBTOTAL(9,E125:E129)</f>
        <v>660520</v>
      </c>
      <c r="F130" s="163">
        <f t="shared" ref="F130:G130" si="16">SUBTOTAL(9,F125:F129)</f>
        <v>5000</v>
      </c>
      <c r="G130" s="163">
        <f t="shared" si="16"/>
        <v>-30337</v>
      </c>
      <c r="H130" s="164"/>
    </row>
    <row r="131" spans="1:8" ht="18.600000000000001" thickTop="1">
      <c r="A131" s="183">
        <v>45958</v>
      </c>
      <c r="B131" s="108" t="s">
        <v>59</v>
      </c>
      <c r="C131" s="152"/>
      <c r="D131" s="149">
        <v>194773</v>
      </c>
      <c r="E131" s="149">
        <v>203770</v>
      </c>
      <c r="F131" s="149"/>
      <c r="G131" s="149">
        <f>Tableau10[[#This Row],[VERSEMENT]]+Tableau10[[#This Row],[CHARGE]]-Tableau10[[#This Row],[T.LOGICIEL]]</f>
        <v>8997</v>
      </c>
      <c r="H131" s="153" t="s">
        <v>205</v>
      </c>
    </row>
    <row r="132" spans="1:8" ht="18">
      <c r="A132" s="183"/>
      <c r="B132" s="108" t="s">
        <v>122</v>
      </c>
      <c r="C132" s="152">
        <v>99250</v>
      </c>
      <c r="D132" s="149">
        <v>99250</v>
      </c>
      <c r="E132" s="149">
        <f>99250-60</f>
        <v>99190</v>
      </c>
      <c r="F132" s="149">
        <v>60</v>
      </c>
      <c r="G132" s="149">
        <f>Tableau10[[#This Row],[VERSEMENT]]+Tableau10[[#This Row],[CHARGE]]-Tableau10[[#This Row],[T.LOGICIEL]]</f>
        <v>0</v>
      </c>
      <c r="H132" s="153" t="s">
        <v>206</v>
      </c>
    </row>
    <row r="133" spans="1:8" ht="18">
      <c r="A133" s="183"/>
      <c r="B133" s="108" t="s">
        <v>120</v>
      </c>
      <c r="C133" s="152">
        <v>217434</v>
      </c>
      <c r="D133" s="149">
        <f>196983</f>
        <v>196983</v>
      </c>
      <c r="E133" s="149">
        <v>191680</v>
      </c>
      <c r="F133" s="149">
        <v>5000</v>
      </c>
      <c r="G133" s="149">
        <f>Tableau10[[#This Row],[VERSEMENT]]+Tableau10[[#This Row],[CHARGE]]-Tableau10[[#This Row],[T.LOGICIEL]]</f>
        <v>-303</v>
      </c>
      <c r="H133" s="153" t="s">
        <v>207</v>
      </c>
    </row>
    <row r="134" spans="1:8" ht="36">
      <c r="A134" s="183"/>
      <c r="B134" s="108" t="s">
        <v>124</v>
      </c>
      <c r="C134" s="152">
        <v>75552</v>
      </c>
      <c r="D134" s="149">
        <f>202012-126700</f>
        <v>75312</v>
      </c>
      <c r="E134" s="149">
        <v>74200</v>
      </c>
      <c r="F134" s="149">
        <v>1000</v>
      </c>
      <c r="G134" s="149">
        <f>Tableau10[[#This Row],[VERSEMENT]]+Tableau10[[#This Row],[CHARGE]]-Tableau10[[#This Row],[T.LOGICIEL]]</f>
        <v>-112</v>
      </c>
      <c r="H134" s="153" t="s">
        <v>208</v>
      </c>
    </row>
    <row r="135" spans="1:8" ht="18.600000000000001" thickBot="1">
      <c r="A135" s="183"/>
      <c r="B135" s="108" t="s">
        <v>176</v>
      </c>
      <c r="C135" s="152"/>
      <c r="D135" s="149">
        <v>400</v>
      </c>
      <c r="E135" s="149">
        <v>400</v>
      </c>
      <c r="F135" s="149"/>
      <c r="G135" s="149"/>
      <c r="H135" s="153" t="s">
        <v>209</v>
      </c>
    </row>
    <row r="136" spans="1:8" ht="19.2" thickTop="1" thickBot="1">
      <c r="A136" s="165"/>
      <c r="B136" s="161"/>
      <c r="C136" s="162"/>
      <c r="D136" s="163" t="s">
        <v>125</v>
      </c>
      <c r="E136" s="163">
        <f>SUBTOTAL(9,E131:E135)</f>
        <v>569240</v>
      </c>
      <c r="F136" s="163">
        <f t="shared" ref="F136:G136" si="17">SUBTOTAL(9,F131:F135)</f>
        <v>6060</v>
      </c>
      <c r="G136" s="163">
        <f t="shared" si="17"/>
        <v>8582</v>
      </c>
      <c r="H136" s="164"/>
    </row>
    <row r="137" spans="1:8" ht="18.600000000000001" thickTop="1">
      <c r="A137" s="188">
        <v>45959</v>
      </c>
      <c r="B137" s="108" t="s">
        <v>59</v>
      </c>
      <c r="C137" s="152"/>
      <c r="D137" s="149">
        <v>170626</v>
      </c>
      <c r="E137" s="149">
        <f>170000+5610+300</f>
        <v>175910</v>
      </c>
      <c r="F137" s="149"/>
      <c r="G137" s="149">
        <f>Tableau10[[#This Row],[VERSEMENT]]+Tableau10[[#This Row],[CHARGE]]-Tableau10[[#This Row],[T.LOGICIEL]]</f>
        <v>5284</v>
      </c>
      <c r="H137" s="153" t="s">
        <v>210</v>
      </c>
    </row>
    <row r="138" spans="1:8" ht="36">
      <c r="A138" s="188"/>
      <c r="B138" s="108" t="s">
        <v>122</v>
      </c>
      <c r="C138" s="152">
        <f>220439-134550</f>
        <v>85889</v>
      </c>
      <c r="D138" s="149">
        <v>85079</v>
      </c>
      <c r="E138" s="149">
        <f>115710-10265-3000</f>
        <v>102445</v>
      </c>
      <c r="F138" s="149">
        <v>1000</v>
      </c>
      <c r="G138" s="149">
        <f>Tableau10[[#This Row],[VERSEMENT]]+Tableau10[[#This Row],[CHARGE]]-Tableau10[[#This Row],[T.LOGICIEL]]</f>
        <v>18366</v>
      </c>
      <c r="H138" s="153" t="s">
        <v>211</v>
      </c>
    </row>
    <row r="139" spans="1:8" ht="18">
      <c r="A139" s="188"/>
      <c r="B139" s="108" t="s">
        <v>120</v>
      </c>
      <c r="C139" s="152">
        <v>119350</v>
      </c>
      <c r="D139" s="149">
        <f>118380</f>
        <v>118380</v>
      </c>
      <c r="E139" s="149">
        <f>117830+250</f>
        <v>118080</v>
      </c>
      <c r="F139" s="149">
        <v>500</v>
      </c>
      <c r="G139" s="149">
        <f>Tableau10[[#This Row],[VERSEMENT]]+Tableau10[[#This Row],[CHARGE]]-Tableau10[[#This Row],[T.LOGICIEL]]</f>
        <v>200</v>
      </c>
      <c r="H139" s="153" t="s">
        <v>212</v>
      </c>
    </row>
    <row r="140" spans="1:8" ht="18">
      <c r="A140" s="188"/>
      <c r="B140" s="108" t="s">
        <v>124</v>
      </c>
      <c r="C140" s="152">
        <v>67410</v>
      </c>
      <c r="D140" s="149">
        <v>67410</v>
      </c>
      <c r="E140" s="149">
        <v>66410</v>
      </c>
      <c r="F140" s="149">
        <v>1000</v>
      </c>
      <c r="G140" s="149">
        <f>Tableau10[[#This Row],[VERSEMENT]]+Tableau10[[#This Row],[CHARGE]]-Tableau10[[#This Row],[T.LOGICIEL]]</f>
        <v>0</v>
      </c>
      <c r="H140" s="153" t="s">
        <v>180</v>
      </c>
    </row>
    <row r="141" spans="1:8" ht="18.600000000000001" thickBot="1">
      <c r="A141" s="188"/>
      <c r="B141" s="108" t="s">
        <v>176</v>
      </c>
      <c r="C141" s="152"/>
      <c r="D141" s="149"/>
      <c r="E141" s="149">
        <f>-(4000+1000)+10265+3000</f>
        <v>8265</v>
      </c>
      <c r="F141" s="149"/>
      <c r="G141" s="149">
        <f>Tableau10[[#This Row],[VERSEMENT]]+Tableau10[[#This Row],[CHARGE]]-Tableau10[[#This Row],[T.LOGICIEL]]</f>
        <v>8265</v>
      </c>
      <c r="H141" s="153" t="s">
        <v>213</v>
      </c>
    </row>
    <row r="142" spans="1:8" ht="19.2" thickTop="1" thickBot="1">
      <c r="A142" s="165"/>
      <c r="B142" s="161"/>
      <c r="C142" s="162"/>
      <c r="D142" s="163" t="s">
        <v>125</v>
      </c>
      <c r="E142" s="163">
        <f>SUBTOTAL(9,E137:E141)</f>
        <v>471110</v>
      </c>
      <c r="F142" s="163">
        <f t="shared" ref="F142:G142" si="18">SUBTOTAL(9,F137:F141)</f>
        <v>2500</v>
      </c>
      <c r="G142" s="163">
        <f t="shared" si="18"/>
        <v>32115</v>
      </c>
      <c r="H142" s="164"/>
    </row>
    <row r="143" spans="1:8" ht="18.600000000000001" thickTop="1">
      <c r="A143" s="159">
        <v>45960</v>
      </c>
      <c r="B143" s="108" t="s">
        <v>59</v>
      </c>
      <c r="C143" s="152"/>
      <c r="D143" s="149">
        <v>208634</v>
      </c>
      <c r="E143" s="149">
        <v>203635</v>
      </c>
      <c r="F143" s="149"/>
      <c r="G143" s="149">
        <f>Tableau10[[#This Row],[VERSEMENT]]+Tableau10[[#This Row],[CHARGE]]-Tableau10[[#This Row],[T.LOGICIEL]]</f>
        <v>-4999</v>
      </c>
      <c r="H143" s="230" t="s">
        <v>214</v>
      </c>
    </row>
    <row r="144" spans="1:8" ht="18">
      <c r="A144" s="159"/>
      <c r="B144" s="108" t="s">
        <v>122</v>
      </c>
      <c r="C144" s="152">
        <v>129192</v>
      </c>
      <c r="D144" s="149">
        <v>126295</v>
      </c>
      <c r="E144" s="149">
        <v>126250</v>
      </c>
      <c r="F144" s="149"/>
      <c r="G144" s="149">
        <f>Tableau10[[#This Row],[VERSEMENT]]+Tableau10[[#This Row],[CHARGE]]-Tableau10[[#This Row],[T.LOGICIEL]]</f>
        <v>-45</v>
      </c>
      <c r="H144" s="153" t="s">
        <v>215</v>
      </c>
    </row>
    <row r="145" spans="1:8" ht="36">
      <c r="A145" s="159"/>
      <c r="B145" s="108" t="s">
        <v>120</v>
      </c>
      <c r="C145" s="152">
        <f>440900-222625</f>
        <v>218275</v>
      </c>
      <c r="D145" s="149">
        <v>201025</v>
      </c>
      <c r="E145" s="149">
        <f>63000+13000+200-2000-1000</f>
        <v>73200</v>
      </c>
      <c r="F145" s="149">
        <v>2050</v>
      </c>
      <c r="G145" s="149">
        <f>Tableau10[[#This Row],[VERSEMENT]]+Tableau10[[#This Row],[CHARGE]]-Tableau10[[#This Row],[T.LOGICIEL]]</f>
        <v>-125775</v>
      </c>
      <c r="H145" s="153" t="s">
        <v>216</v>
      </c>
    </row>
    <row r="146" spans="1:8" ht="18">
      <c r="A146" s="159"/>
      <c r="B146" s="108" t="s">
        <v>124</v>
      </c>
      <c r="C146" s="152">
        <v>153038</v>
      </c>
      <c r="D146" s="149">
        <v>151868</v>
      </c>
      <c r="E146" s="149">
        <v>146850</v>
      </c>
      <c r="F146" s="149">
        <v>5000</v>
      </c>
      <c r="G146" s="149">
        <f>Tableau10[[#This Row],[VERSEMENT]]+Tableau10[[#This Row],[CHARGE]]-Tableau10[[#This Row],[T.LOGICIEL]]</f>
        <v>-18</v>
      </c>
      <c r="H146" s="153" t="s">
        <v>217</v>
      </c>
    </row>
    <row r="147" spans="1:8" ht="36.6" thickBot="1">
      <c r="A147" s="159"/>
      <c r="B147" s="108" t="s">
        <v>176</v>
      </c>
      <c r="C147" s="152"/>
      <c r="D147" s="149"/>
      <c r="E147" s="149">
        <f>-(2000+1000)+600</f>
        <v>-2400</v>
      </c>
      <c r="F147" s="149"/>
      <c r="G147" s="149">
        <f>Tableau10[[#This Row],[VERSEMENT]]+Tableau10[[#This Row],[CHARGE]]-Tableau10[[#This Row],[T.LOGICIEL]]</f>
        <v>-2400</v>
      </c>
      <c r="H147" s="153" t="s">
        <v>218</v>
      </c>
    </row>
    <row r="148" spans="1:8" ht="19.2" thickTop="1" thickBot="1">
      <c r="A148" s="165"/>
      <c r="B148" s="161"/>
      <c r="C148" s="162">
        <f>+SUM(C144:C146)</f>
        <v>500505</v>
      </c>
      <c r="D148" s="163" t="s">
        <v>125</v>
      </c>
      <c r="E148" s="163">
        <f>SUBTOTAL(9,E143:E147)</f>
        <v>547535</v>
      </c>
      <c r="F148" s="163">
        <f>SUBTOTAL(9,F143:F147)</f>
        <v>7050</v>
      </c>
      <c r="G148" s="163">
        <f>SUBTOTAL(9,G143:G147)</f>
        <v>-133237</v>
      </c>
      <c r="H148" s="164"/>
    </row>
    <row r="149" spans="1:8" ht="21.6" thickTop="1">
      <c r="A149" s="184" t="s">
        <v>9</v>
      </c>
      <c r="B149" s="185"/>
      <c r="C149" s="186"/>
      <c r="D149" s="186"/>
      <c r="E149" s="186">
        <f>SUBTOTAL(109,Tableau10[VERSEMENT])</f>
        <v>16517948</v>
      </c>
      <c r="F149" s="186">
        <f>SUBTOTAL(109,Tableau10[CHARGE])</f>
        <v>143150</v>
      </c>
      <c r="G149" s="186">
        <f>SUBTOTAL(109,Tableau10[DEFF])</f>
        <v>-437351</v>
      </c>
      <c r="H149" s="187">
        <f>SUBTOTAL(103,Tableau10[OBSERVATION])</f>
        <v>98</v>
      </c>
    </row>
    <row r="150" spans="1:8">
      <c r="A150" s="207"/>
      <c r="B150" s="207"/>
      <c r="C150" s="207"/>
      <c r="D150" s="207"/>
      <c r="E150" s="207"/>
      <c r="F150" s="151"/>
      <c r="G150" s="151"/>
      <c r="H150" s="151"/>
    </row>
    <row r="151" spans="1:8">
      <c r="A151" s="207"/>
      <c r="B151" s="207"/>
      <c r="C151" s="207"/>
      <c r="D151" s="207"/>
      <c r="E151" s="207"/>
      <c r="F151" s="189"/>
      <c r="G151" s="207"/>
      <c r="H151" s="151"/>
    </row>
    <row r="152" spans="1:8">
      <c r="A152" s="207"/>
      <c r="B152" s="207"/>
      <c r="C152" s="207"/>
      <c r="D152" s="207"/>
      <c r="E152" s="151"/>
      <c r="F152" s="207"/>
      <c r="G152" s="151"/>
      <c r="H152" s="207"/>
    </row>
    <row r="153" spans="1:8" ht="19.2">
      <c r="A153" s="275" t="s">
        <v>219</v>
      </c>
      <c r="B153" s="275"/>
      <c r="C153" s="207"/>
      <c r="D153" s="207"/>
      <c r="E153" s="151"/>
      <c r="F153" s="190"/>
      <c r="G153" s="151"/>
      <c r="H153" s="207"/>
    </row>
    <row r="154" spans="1:8">
      <c r="A154" s="207"/>
      <c r="B154" s="207"/>
      <c r="C154" s="207"/>
      <c r="D154" s="207"/>
      <c r="E154" s="207"/>
      <c r="F154" s="151"/>
      <c r="G154" s="151"/>
      <c r="H154" s="207"/>
    </row>
    <row r="155" spans="1:8" ht="18">
      <c r="A155" s="98" t="s">
        <v>111</v>
      </c>
      <c r="B155" s="98" t="s">
        <v>220</v>
      </c>
      <c r="C155" s="98" t="s">
        <v>221</v>
      </c>
      <c r="D155" s="98" t="s">
        <v>9</v>
      </c>
      <c r="E155" s="151"/>
      <c r="F155" s="151"/>
      <c r="G155" s="151"/>
      <c r="H155" s="207"/>
    </row>
    <row r="156" spans="1:8" ht="18">
      <c r="A156" s="97">
        <v>45931</v>
      </c>
      <c r="B156" s="157">
        <f>E6+E7+E8</f>
        <v>288715</v>
      </c>
      <c r="C156" s="180">
        <f>E5</f>
        <v>126033</v>
      </c>
      <c r="D156" s="231">
        <f>Tableau5[[#This Row],[T. Livreur]]+Tableau5[[#This Row],[Mohamed]]</f>
        <v>414748</v>
      </c>
      <c r="E156" s="207"/>
      <c r="F156" s="207"/>
      <c r="G156" s="151"/>
      <c r="H156" s="207"/>
    </row>
    <row r="157" spans="1:8" ht="18">
      <c r="A157" s="97">
        <v>45932</v>
      </c>
      <c r="B157" s="157">
        <f>E11+E12+E13</f>
        <v>527312</v>
      </c>
      <c r="C157" s="180">
        <f>E10</f>
        <v>118622</v>
      </c>
      <c r="D157" s="231">
        <f>Tableau5[[#This Row],[T. Livreur]]+Tableau5[[#This Row],[Mohamed]]</f>
        <v>645934</v>
      </c>
      <c r="E157" s="207"/>
      <c r="F157" s="207"/>
      <c r="G157" s="207"/>
      <c r="H157" s="207"/>
    </row>
    <row r="158" spans="1:8" ht="18">
      <c r="A158" s="97">
        <v>45934</v>
      </c>
      <c r="B158" s="157">
        <f>E16+E17+E18</f>
        <v>471554</v>
      </c>
      <c r="C158" s="180">
        <f>E15</f>
        <v>175693</v>
      </c>
      <c r="D158" s="231">
        <f>Tableau5[[#This Row],[T. Livreur]]+Tableau5[[#This Row],[Mohamed]]</f>
        <v>647247</v>
      </c>
      <c r="E158" s="207"/>
      <c r="F158" s="207"/>
      <c r="G158" s="151"/>
      <c r="H158" s="207"/>
    </row>
    <row r="159" spans="1:8" ht="18">
      <c r="A159" s="97">
        <v>45935</v>
      </c>
      <c r="B159" s="157">
        <f>E24-E20+2000+5000+500</f>
        <v>484484</v>
      </c>
      <c r="C159" s="180">
        <f>E20</f>
        <v>79650</v>
      </c>
      <c r="D159" s="231">
        <f>Tableau5[[#This Row],[T. Livreur]]+Tableau5[[#This Row],[Mohamed]]</f>
        <v>564134</v>
      </c>
      <c r="E159" s="207"/>
      <c r="F159" s="151"/>
      <c r="G159" s="207"/>
      <c r="H159" s="207"/>
    </row>
    <row r="160" spans="1:8" ht="18">
      <c r="A160" s="97">
        <v>45936</v>
      </c>
      <c r="B160" s="157">
        <f>E29-E25</f>
        <v>331590</v>
      </c>
      <c r="C160" s="180">
        <f>E25</f>
        <v>240000</v>
      </c>
      <c r="D160" s="231">
        <f>Tableau5[[#This Row],[T. Livreur]]+Tableau5[[#This Row],[Mohamed]]</f>
        <v>571590</v>
      </c>
      <c r="E160" s="207"/>
      <c r="F160" s="151"/>
      <c r="G160" s="207"/>
      <c r="H160" s="207"/>
    </row>
    <row r="161" spans="1:4" ht="18">
      <c r="A161" s="97">
        <v>45937</v>
      </c>
      <c r="B161" s="157">
        <f>E34-E30</f>
        <v>406598</v>
      </c>
      <c r="C161" s="180">
        <f>E30</f>
        <v>229400</v>
      </c>
      <c r="D161" s="231">
        <f>Tableau5[[#This Row],[T. Livreur]]+Tableau5[[#This Row],[Mohamed]]</f>
        <v>635998</v>
      </c>
    </row>
    <row r="162" spans="1:4" ht="18">
      <c r="A162" s="97">
        <v>45938</v>
      </c>
      <c r="B162" s="157">
        <f>E39-E35</f>
        <v>402105</v>
      </c>
      <c r="C162" s="180">
        <f>E35</f>
        <v>154600</v>
      </c>
      <c r="D162" s="231">
        <f>Tableau5[[#This Row],[T. Livreur]]+Tableau5[[#This Row],[Mohamed]]</f>
        <v>556705</v>
      </c>
    </row>
    <row r="163" spans="1:4" ht="18">
      <c r="A163" s="97">
        <v>45939</v>
      </c>
      <c r="B163" s="157">
        <f>E44-E40</f>
        <v>628945</v>
      </c>
      <c r="C163" s="180">
        <f>E40</f>
        <v>160310</v>
      </c>
      <c r="D163" s="231">
        <f>Tableau5[[#This Row],[T. Livreur]]+Tableau5[[#This Row],[Mohamed]]</f>
        <v>789255</v>
      </c>
    </row>
    <row r="164" spans="1:4" ht="18">
      <c r="A164" s="97">
        <v>45941</v>
      </c>
      <c r="B164" s="157">
        <f>E49-E45</f>
        <v>446740</v>
      </c>
      <c r="C164" s="180">
        <f>E45</f>
        <v>140305</v>
      </c>
      <c r="D164" s="231">
        <f>Tableau5[[#This Row],[T. Livreur]]+Tableau5[[#This Row],[Mohamed]]</f>
        <v>587045</v>
      </c>
    </row>
    <row r="165" spans="1:4" ht="18">
      <c r="A165" s="97">
        <v>45942</v>
      </c>
      <c r="B165" s="157">
        <f>E54-E50</f>
        <v>377467</v>
      </c>
      <c r="C165" s="180">
        <f>E50</f>
        <v>116930</v>
      </c>
      <c r="D165" s="231">
        <f>Tableau5[[#This Row],[T. Livreur]]+Tableau5[[#This Row],[Mohamed]]</f>
        <v>494397</v>
      </c>
    </row>
    <row r="166" spans="1:4" ht="18">
      <c r="A166" s="97">
        <v>45943</v>
      </c>
      <c r="B166" s="157">
        <f>E59-E55</f>
        <v>367013</v>
      </c>
      <c r="C166" s="180">
        <f>E55</f>
        <v>177925</v>
      </c>
      <c r="D166" s="231">
        <f>Tableau5[[#This Row],[T. Livreur]]+Tableau5[[#This Row],[Mohamed]]</f>
        <v>544938</v>
      </c>
    </row>
    <row r="167" spans="1:4" ht="18">
      <c r="A167" s="97">
        <v>45944</v>
      </c>
      <c r="B167" s="157">
        <f>E64-E60</f>
        <v>461765</v>
      </c>
      <c r="C167" s="180">
        <f>E60</f>
        <v>241856</v>
      </c>
      <c r="D167" s="231">
        <f>Tableau5[[#This Row],[T. Livreur]]+Tableau5[[#This Row],[Mohamed]]</f>
        <v>703621</v>
      </c>
    </row>
    <row r="168" spans="1:4" ht="18">
      <c r="A168" s="97">
        <v>45945</v>
      </c>
      <c r="B168" s="157">
        <f>E69-E65</f>
        <v>411565</v>
      </c>
      <c r="C168" s="180">
        <f>E65</f>
        <v>137300</v>
      </c>
      <c r="D168" s="231">
        <f>Tableau5[[#This Row],[T. Livreur]]+Tableau5[[#This Row],[Mohamed]]</f>
        <v>548865</v>
      </c>
    </row>
    <row r="169" spans="1:4" ht="18">
      <c r="A169" s="97">
        <v>45946</v>
      </c>
      <c r="B169" s="157">
        <f>E75-E70</f>
        <v>634630</v>
      </c>
      <c r="C169" s="180">
        <f>E70</f>
        <v>177120</v>
      </c>
      <c r="D169" s="231">
        <f>Tableau5[[#This Row],[T. Livreur]]+Tableau5[[#This Row],[Mohamed]]</f>
        <v>811750</v>
      </c>
    </row>
    <row r="170" spans="1:4" ht="18">
      <c r="A170" s="97">
        <v>45948</v>
      </c>
      <c r="B170" s="157">
        <f>E81-E76</f>
        <v>631750</v>
      </c>
      <c r="C170" s="180">
        <f>E76</f>
        <v>219770</v>
      </c>
      <c r="D170" s="231">
        <f>Tableau5[[#This Row],[T. Livreur]]+Tableau5[[#This Row],[Mohamed]]</f>
        <v>851520</v>
      </c>
    </row>
    <row r="171" spans="1:4" ht="18">
      <c r="A171" s="97">
        <v>45949</v>
      </c>
      <c r="B171" s="157">
        <f>E83+E84+E85</f>
        <v>439530</v>
      </c>
      <c r="C171" s="180">
        <f>+E82</f>
        <v>160580</v>
      </c>
      <c r="D171" s="231">
        <f>Tableau5[[#This Row],[T. Livreur]]+Tableau5[[#This Row],[Mohamed]]</f>
        <v>600110</v>
      </c>
    </row>
    <row r="172" spans="1:4" ht="18">
      <c r="A172" s="97">
        <v>45950</v>
      </c>
      <c r="B172" s="157">
        <f>E93-E88</f>
        <v>448716</v>
      </c>
      <c r="C172" s="180">
        <f>E88</f>
        <v>171110</v>
      </c>
      <c r="D172" s="231">
        <f>Tableau5[[#This Row],[T. Livreur]]+Tableau5[[#This Row],[Mohamed]]</f>
        <v>619826</v>
      </c>
    </row>
    <row r="173" spans="1:4" ht="18">
      <c r="A173" s="97">
        <v>45951</v>
      </c>
      <c r="B173" s="157">
        <f>E95+E96+E97</f>
        <v>547690</v>
      </c>
      <c r="C173" s="180">
        <f>E94</f>
        <v>240755</v>
      </c>
      <c r="D173" s="231">
        <f>Tableau5[[#This Row],[T. Livreur]]+Tableau5[[#This Row],[Mohamed]]</f>
        <v>788445</v>
      </c>
    </row>
    <row r="174" spans="1:4" ht="18">
      <c r="A174" s="97">
        <v>45952</v>
      </c>
      <c r="B174" s="157">
        <f>E101+E102+E103+E104+E105</f>
        <v>621062</v>
      </c>
      <c r="C174" s="180">
        <f>E100</f>
        <v>202195</v>
      </c>
      <c r="D174" s="231">
        <f>Tableau5[[#This Row],[T. Livreur]]+Tableau5[[#This Row],[Mohamed]]</f>
        <v>823257</v>
      </c>
    </row>
    <row r="175" spans="1:4" ht="18">
      <c r="A175" s="97">
        <v>45953</v>
      </c>
      <c r="B175" s="157">
        <f>E112-E107</f>
        <v>723695</v>
      </c>
      <c r="C175" s="180">
        <f>E107</f>
        <v>180250</v>
      </c>
      <c r="D175" s="231">
        <f>Tableau5[[#This Row],[T. Livreur]]+Tableau5[[#This Row],[Mohamed]]</f>
        <v>903945</v>
      </c>
    </row>
    <row r="176" spans="1:4" ht="18">
      <c r="A176" s="97">
        <v>45955</v>
      </c>
      <c r="B176" s="157">
        <f>E118-E113</f>
        <v>412272</v>
      </c>
      <c r="C176" s="180">
        <f>E113</f>
        <v>165000</v>
      </c>
      <c r="D176" s="231">
        <f>Tableau5[[#This Row],[T. Livreur]]+Tableau5[[#This Row],[Mohamed]]</f>
        <v>577272</v>
      </c>
    </row>
    <row r="177" spans="1:4" ht="18">
      <c r="A177" s="97">
        <v>45956</v>
      </c>
      <c r="B177" s="157">
        <f>E124-E119</f>
        <v>466071</v>
      </c>
      <c r="C177" s="180">
        <f>E119</f>
        <v>223430</v>
      </c>
      <c r="D177" s="231">
        <f>Tableau5[[#This Row],[T. Livreur]]+Tableau5[[#This Row],[Mohamed]]</f>
        <v>689501</v>
      </c>
    </row>
    <row r="178" spans="1:4" ht="18">
      <c r="A178" s="97">
        <v>45957</v>
      </c>
      <c r="B178" s="157">
        <f>E130-E125</f>
        <v>411250</v>
      </c>
      <c r="C178" s="180">
        <f>E125</f>
        <v>249270</v>
      </c>
      <c r="D178" s="231">
        <f>Tableau5[[#This Row],[T. Livreur]]+Tableau5[[#This Row],[Mohamed]]</f>
        <v>660520</v>
      </c>
    </row>
    <row r="179" spans="1:4" ht="18">
      <c r="A179" s="97">
        <v>45958</v>
      </c>
      <c r="B179" s="157">
        <f>E136-E131</f>
        <v>365470</v>
      </c>
      <c r="C179" s="180">
        <f>E131</f>
        <v>203770</v>
      </c>
      <c r="D179" s="231">
        <f>Tableau5[[#This Row],[T. Livreur]]+Tableau5[[#This Row],[Mohamed]]</f>
        <v>569240</v>
      </c>
    </row>
    <row r="180" spans="1:4" ht="18">
      <c r="A180" s="97">
        <v>45959</v>
      </c>
      <c r="B180" s="157">
        <f>E142-E137</f>
        <v>295200</v>
      </c>
      <c r="C180" s="180">
        <f>E137</f>
        <v>175910</v>
      </c>
      <c r="D180" s="231">
        <f>Tableau5[[#This Row],[T. Livreur]]+Tableau5[[#This Row],[Mohamed]]</f>
        <v>471110</v>
      </c>
    </row>
    <row r="181" spans="1:4" ht="18">
      <c r="A181" s="97">
        <v>45960</v>
      </c>
      <c r="B181" s="157">
        <f>E148-E143</f>
        <v>343900</v>
      </c>
      <c r="C181" s="180">
        <f>E143</f>
        <v>203635</v>
      </c>
      <c r="D181" s="231">
        <f>Tableau5[[#This Row],[T. Livreur]]+Tableau5[[#This Row],[Mohamed]]</f>
        <v>547535</v>
      </c>
    </row>
    <row r="182" spans="1:4" ht="18">
      <c r="A182" s="98" t="s">
        <v>9</v>
      </c>
      <c r="B182" s="180">
        <f>E143</f>
        <v>203635</v>
      </c>
      <c r="C182" s="180">
        <f>SUBTOTAL(109,Tableau5[Mohamed])</f>
        <v>4671419</v>
      </c>
      <c r="D182" s="180">
        <f>SUBTOTAL(109,Tableau5[Total])</f>
        <v>16618508</v>
      </c>
    </row>
  </sheetData>
  <mergeCells count="2">
    <mergeCell ref="G2:H2"/>
    <mergeCell ref="A153:B153"/>
  </mergeCells>
  <pageMargins left="0.7" right="0.7" top="0.75" bottom="0.75" header="0.3" footer="0.3"/>
  <pageSetup paperSize="9" orientation="portrait" horizontalDpi="4294967293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2:I167"/>
  <sheetViews>
    <sheetView topLeftCell="A4" workbookViewId="0">
      <pane ySplit="1" topLeftCell="A155" activePane="bottomLeft" state="frozen"/>
      <selection activeCell="A4" sqref="A4"/>
      <selection pane="bottomLeft" activeCell="G167" sqref="G167"/>
    </sheetView>
  </sheetViews>
  <sheetFormatPr baseColWidth="10" defaultColWidth="11.3984375" defaultRowHeight="13.8"/>
  <cols>
    <col min="1" max="1" width="22.09765625" bestFit="1" customWidth="1"/>
    <col min="2" max="2" width="15.3984375" bestFit="1" customWidth="1"/>
    <col min="3" max="3" width="20.3984375" customWidth="1"/>
    <col min="4" max="4" width="17.09765625" customWidth="1"/>
    <col min="5" max="5" width="17.8984375" customWidth="1"/>
    <col min="6" max="6" width="19.09765625" bestFit="1" customWidth="1"/>
    <col min="7" max="7" width="20.69921875" bestFit="1" customWidth="1"/>
    <col min="8" max="8" width="46.3984375" customWidth="1"/>
  </cols>
  <sheetData>
    <row r="2" spans="1:8" ht="21">
      <c r="A2" s="207"/>
      <c r="B2" s="207"/>
      <c r="C2" s="207"/>
      <c r="D2" s="207"/>
      <c r="E2" s="207"/>
      <c r="F2" s="207"/>
      <c r="G2" s="274">
        <v>45962</v>
      </c>
      <c r="H2" s="274"/>
    </row>
    <row r="4" spans="1:8" ht="18">
      <c r="A4" s="108" t="s">
        <v>111</v>
      </c>
      <c r="B4" s="108" t="s">
        <v>113</v>
      </c>
      <c r="C4" s="108" t="s">
        <v>114</v>
      </c>
      <c r="D4" s="108" t="s">
        <v>115</v>
      </c>
      <c r="E4" s="108" t="s">
        <v>116</v>
      </c>
      <c r="F4" s="108" t="s">
        <v>117</v>
      </c>
      <c r="G4" s="108" t="s">
        <v>222</v>
      </c>
      <c r="H4" s="108" t="s">
        <v>119</v>
      </c>
    </row>
    <row r="5" spans="1:8" ht="18">
      <c r="A5" s="196">
        <v>45962</v>
      </c>
      <c r="B5" s="108" t="s">
        <v>59</v>
      </c>
      <c r="C5" s="110"/>
      <c r="D5" s="149">
        <v>173886</v>
      </c>
      <c r="E5" s="149">
        <f>173886</f>
        <v>173886</v>
      </c>
      <c r="F5" s="149"/>
      <c r="G5" s="149">
        <f>(Tableau11[[#This Row],[VERSEMENT]]+Tableau11[[#This Row],[CHARGE]])-Tableau11[[#This Row],[T.LOGICIEL]]</f>
        <v>0</v>
      </c>
      <c r="H5" s="201" t="s">
        <v>223</v>
      </c>
    </row>
    <row r="6" spans="1:8" ht="36">
      <c r="A6" s="138"/>
      <c r="B6" s="108" t="s">
        <v>30</v>
      </c>
      <c r="C6" s="110">
        <f>254105+1085</f>
        <v>255190</v>
      </c>
      <c r="D6" s="149">
        <v>254105</v>
      </c>
      <c r="E6" s="149">
        <v>252050</v>
      </c>
      <c r="F6" s="149"/>
      <c r="G6" s="149">
        <f>(Tableau11[[#This Row],[VERSEMENT]]+Tableau11[[#This Row],[CHARGE]])-Tableau11[[#This Row],[T.LOGICIEL]]</f>
        <v>-2055</v>
      </c>
      <c r="H6" s="201" t="s">
        <v>224</v>
      </c>
    </row>
    <row r="7" spans="1:8" ht="54">
      <c r="A7" s="207"/>
      <c r="B7" s="108" t="s">
        <v>13</v>
      </c>
      <c r="C7" s="110">
        <v>150689</v>
      </c>
      <c r="D7" s="149">
        <v>143439</v>
      </c>
      <c r="E7" s="149">
        <f>143439-3000+950-600</f>
        <v>140789</v>
      </c>
      <c r="F7" s="149">
        <v>600</v>
      </c>
      <c r="G7" s="149">
        <f>(Tableau11[[#This Row],[VERSEMENT]]+Tableau11[[#This Row],[CHARGE]])-Tableau11[[#This Row],[T.LOGICIEL]]</f>
        <v>-2050</v>
      </c>
      <c r="H7" s="201" t="s">
        <v>225</v>
      </c>
    </row>
    <row r="8" spans="1:8" ht="36">
      <c r="A8" s="207"/>
      <c r="B8" s="108" t="s">
        <v>11</v>
      </c>
      <c r="C8" s="110">
        <v>94515</v>
      </c>
      <c r="D8" s="149">
        <v>94290</v>
      </c>
      <c r="E8" s="149">
        <v>94290</v>
      </c>
      <c r="F8" s="149"/>
      <c r="G8" s="149">
        <f>(Tableau11[[#This Row],[VERSEMENT]]+Tableau11[[#This Row],[CHARGE]])-Tableau11[[#This Row],[T.LOGICIEL]]</f>
        <v>0</v>
      </c>
      <c r="H8" s="201" t="s">
        <v>226</v>
      </c>
    </row>
    <row r="9" spans="1:8" ht="18.600000000000001" thickBot="1">
      <c r="A9" s="207"/>
      <c r="B9" s="108" t="s">
        <v>176</v>
      </c>
      <c r="C9" s="110"/>
      <c r="D9" s="149"/>
      <c r="E9" s="149">
        <v>10000</v>
      </c>
      <c r="F9" s="149"/>
      <c r="G9" s="149"/>
      <c r="H9" s="201" t="s">
        <v>227</v>
      </c>
    </row>
    <row r="10" spans="1:8" ht="19.2" thickTop="1" thickBot="1">
      <c r="A10" s="172"/>
      <c r="B10" s="169"/>
      <c r="C10" s="167"/>
      <c r="D10" s="167" t="s">
        <v>125</v>
      </c>
      <c r="E10" s="167">
        <f>SUBTOTAL(9,E5:E9)</f>
        <v>671015</v>
      </c>
      <c r="F10" s="167">
        <f>SUBTOTAL(9,F5:F9)</f>
        <v>600</v>
      </c>
      <c r="G10" s="167">
        <f>SUBTOTAL(9,G5:G9)</f>
        <v>-4105</v>
      </c>
      <c r="H10" s="171"/>
    </row>
    <row r="11" spans="1:8" ht="54.6" thickTop="1">
      <c r="A11" s="197">
        <v>45963</v>
      </c>
      <c r="B11" s="108" t="s">
        <v>59</v>
      </c>
      <c r="C11" s="149"/>
      <c r="D11" s="149">
        <v>180893</v>
      </c>
      <c r="E11" s="149">
        <f>250000-173886+104275</f>
        <v>180389</v>
      </c>
      <c r="F11" s="149"/>
      <c r="G11" s="149">
        <f>(Tableau11[[#This Row],[VERSEMENT]]+Tableau11[[#This Row],[CHARGE]])-Tableau11[[#This Row],[T.LOGICIEL]]</f>
        <v>-504</v>
      </c>
      <c r="H11" s="201" t="s">
        <v>228</v>
      </c>
    </row>
    <row r="12" spans="1:8" ht="18">
      <c r="A12" s="197">
        <v>45963</v>
      </c>
      <c r="B12" s="108" t="s">
        <v>30</v>
      </c>
      <c r="C12" s="149">
        <v>25620</v>
      </c>
      <c r="D12" s="149">
        <v>25620</v>
      </c>
      <c r="E12" s="149">
        <v>25620</v>
      </c>
      <c r="F12" s="149"/>
      <c r="G12" s="149">
        <f>(Tableau11[[#This Row],[VERSEMENT]]+Tableau11[[#This Row],[CHARGE]])-Tableau11[[#This Row],[T.LOGICIEL]]</f>
        <v>0</v>
      </c>
      <c r="H12" s="133"/>
    </row>
    <row r="13" spans="1:8" ht="18">
      <c r="A13" s="197">
        <v>45963</v>
      </c>
      <c r="B13" s="108" t="s">
        <v>13</v>
      </c>
      <c r="C13" s="149">
        <v>169903</v>
      </c>
      <c r="D13" s="149">
        <v>162888</v>
      </c>
      <c r="E13" s="149">
        <f>162590+300</f>
        <v>162890</v>
      </c>
      <c r="F13" s="149"/>
      <c r="G13" s="149">
        <f>(Tableau11[[#This Row],[VERSEMENT]]+Tableau11[[#This Row],[CHARGE]])-Tableau11[[#This Row],[T.LOGICIEL]]</f>
        <v>2</v>
      </c>
      <c r="H13" s="202" t="s">
        <v>229</v>
      </c>
    </row>
    <row r="14" spans="1:8" ht="36">
      <c r="A14" s="197">
        <v>45963</v>
      </c>
      <c r="B14" s="108" t="s">
        <v>11</v>
      </c>
      <c r="C14" s="193">
        <v>170407</v>
      </c>
      <c r="D14" s="149">
        <v>166052</v>
      </c>
      <c r="E14" s="149">
        <f>149425-1000+10000</f>
        <v>158425</v>
      </c>
      <c r="F14" s="149">
        <v>1000</v>
      </c>
      <c r="G14" s="149">
        <f>(Tableau11[[#This Row],[VERSEMENT]]+Tableau11[[#This Row],[CHARGE]])-Tableau11[[#This Row],[T.LOGICIEL]]</f>
        <v>-6627</v>
      </c>
      <c r="H14" s="202" t="s">
        <v>230</v>
      </c>
    </row>
    <row r="15" spans="1:8" ht="36.6" thickBot="1">
      <c r="A15" s="197">
        <v>45963</v>
      </c>
      <c r="B15" s="108" t="s">
        <v>176</v>
      </c>
      <c r="C15" s="149"/>
      <c r="D15" s="149"/>
      <c r="E15" s="149">
        <f>-(10000+5000+15000)</f>
        <v>-30000</v>
      </c>
      <c r="F15" s="149"/>
      <c r="G15" s="149"/>
      <c r="H15" s="201" t="s">
        <v>231</v>
      </c>
    </row>
    <row r="16" spans="1:8" ht="19.2" thickTop="1" thickBot="1">
      <c r="A16" s="172"/>
      <c r="B16" s="169"/>
      <c r="C16" s="167"/>
      <c r="D16" s="167" t="s">
        <v>125</v>
      </c>
      <c r="E16" s="167">
        <f>SUBTOTAL(9,E11:E15)</f>
        <v>497324</v>
      </c>
      <c r="F16" s="167">
        <f>SUBTOTAL(9,F11:F15)</f>
        <v>1000</v>
      </c>
      <c r="G16" s="167">
        <f>SUBTOTAL(9,G11:G15)</f>
        <v>-7129</v>
      </c>
      <c r="H16" s="171"/>
    </row>
    <row r="17" spans="1:8" ht="18.600000000000001" thickTop="1">
      <c r="A17" s="159">
        <v>45964</v>
      </c>
      <c r="B17" s="108" t="s">
        <v>59</v>
      </c>
      <c r="C17" s="149"/>
      <c r="D17" s="149">
        <v>237669</v>
      </c>
      <c r="E17" s="149">
        <v>237670</v>
      </c>
      <c r="F17" s="149"/>
      <c r="G17" s="149">
        <f>(Tableau11[[#This Row],[VERSEMENT]]+Tableau11[[#This Row],[CHARGE]])-Tableau11[[#This Row],[T.LOGICIEL]]</f>
        <v>1</v>
      </c>
      <c r="H17" s="133"/>
    </row>
    <row r="18" spans="1:8" ht="90">
      <c r="A18" s="138"/>
      <c r="B18" s="108" t="s">
        <v>13</v>
      </c>
      <c r="C18" s="149">
        <v>156993</v>
      </c>
      <c r="D18" s="149">
        <f>150068</f>
        <v>150068</v>
      </c>
      <c r="E18" s="149">
        <v>132585</v>
      </c>
      <c r="F18" s="149"/>
      <c r="G18" s="149">
        <f>(Tableau11[[#This Row],[VERSEMENT]]+Tableau11[[#This Row],[CHARGE]])-Tableau11[[#This Row],[T.LOGICIEL]]</f>
        <v>-17483</v>
      </c>
      <c r="H18" s="201" t="s">
        <v>232</v>
      </c>
    </row>
    <row r="19" spans="1:8" ht="36">
      <c r="A19" s="207"/>
      <c r="B19" s="108" t="s">
        <v>30</v>
      </c>
      <c r="C19" s="149">
        <v>108364</v>
      </c>
      <c r="D19" s="149">
        <f>108364</f>
        <v>108364</v>
      </c>
      <c r="E19" s="149">
        <f>72750+5000</f>
        <v>77750</v>
      </c>
      <c r="F19" s="149"/>
      <c r="G19" s="149">
        <f>(Tableau11[[#This Row],[VERSEMENT]]+Tableau11[[#This Row],[CHARGE]])-Tableau11[[#This Row],[T.LOGICIEL]]</f>
        <v>-30614</v>
      </c>
      <c r="H19" s="201" t="s">
        <v>233</v>
      </c>
    </row>
    <row r="20" spans="1:8" ht="18">
      <c r="A20" s="207"/>
      <c r="B20" s="108" t="s">
        <v>11</v>
      </c>
      <c r="C20" s="110">
        <v>60744</v>
      </c>
      <c r="D20" s="149">
        <v>60744</v>
      </c>
      <c r="E20" s="149">
        <v>60740</v>
      </c>
      <c r="F20" s="149"/>
      <c r="G20" s="149">
        <f>(Tableau11[[#This Row],[VERSEMENT]]+Tableau11[[#This Row],[CHARGE]])-Tableau11[[#This Row],[T.LOGICIEL]]</f>
        <v>-4</v>
      </c>
      <c r="H20" s="201"/>
    </row>
    <row r="21" spans="1:8" ht="18.600000000000001" thickBot="1">
      <c r="A21" s="125"/>
      <c r="B21" s="118" t="s">
        <v>176</v>
      </c>
      <c r="C21" s="150"/>
      <c r="D21" s="150"/>
      <c r="E21" s="150">
        <f>-5000</f>
        <v>-5000</v>
      </c>
      <c r="F21" s="150"/>
      <c r="G21" s="150"/>
      <c r="H21" s="203" t="s">
        <v>234</v>
      </c>
    </row>
    <row r="22" spans="1:8" ht="19.2" thickTop="1" thickBot="1">
      <c r="A22" s="168"/>
      <c r="B22" s="169"/>
      <c r="C22" s="170"/>
      <c r="D22" s="167" t="s">
        <v>125</v>
      </c>
      <c r="E22" s="167">
        <f>SUBTOTAL(9,E17:E21)</f>
        <v>503745</v>
      </c>
      <c r="F22" s="167">
        <f>SUBTOTAL(9,F17:F21)</f>
        <v>0</v>
      </c>
      <c r="G22" s="167">
        <f>SUBTOTAL(9,G17:G21)</f>
        <v>-48100</v>
      </c>
      <c r="H22" s="171"/>
    </row>
    <row r="23" spans="1:8" ht="18.600000000000001" thickTop="1">
      <c r="A23" s="159">
        <v>45965</v>
      </c>
      <c r="B23" s="108" t="s">
        <v>59</v>
      </c>
      <c r="C23" s="152"/>
      <c r="D23" s="149">
        <f>263993-1131</f>
        <v>262862</v>
      </c>
      <c r="E23" s="149">
        <v>263040</v>
      </c>
      <c r="F23" s="149"/>
      <c r="G23" s="149">
        <f>Tableau11[[#This Row],[VERSEMENT]]+Tableau11[[#This Row],[CHARGE]]-Tableau11[[#This Row],[T.LOGICIEL]]</f>
        <v>178</v>
      </c>
      <c r="H23" s="201"/>
    </row>
    <row r="24" spans="1:8" ht="36">
      <c r="A24" s="154"/>
      <c r="B24" s="108" t="s">
        <v>13</v>
      </c>
      <c r="C24" s="149">
        <v>109962</v>
      </c>
      <c r="D24" s="149">
        <v>109002</v>
      </c>
      <c r="E24" s="149">
        <f>107885</f>
        <v>107885</v>
      </c>
      <c r="F24" s="149">
        <v>1000</v>
      </c>
      <c r="G24" s="149">
        <f>Tableau11[[#This Row],[VERSEMENT]]+Tableau11[[#This Row],[CHARGE]]-Tableau11[[#This Row],[T.LOGICIEL]]</f>
        <v>-117</v>
      </c>
      <c r="H24" s="204" t="s">
        <v>235</v>
      </c>
    </row>
    <row r="25" spans="1:8" ht="72">
      <c r="A25" s="154"/>
      <c r="B25" s="108" t="s">
        <v>30</v>
      </c>
      <c r="C25" s="193">
        <v>248334</v>
      </c>
      <c r="D25" s="149">
        <v>238356</v>
      </c>
      <c r="E25" s="149">
        <f>221795-5000</f>
        <v>216795</v>
      </c>
      <c r="F25" s="149"/>
      <c r="G25" s="149">
        <f>Tableau11[[#This Row],[VERSEMENT]]+Tableau11[[#This Row],[CHARGE]]-Tableau11[[#This Row],[T.LOGICIEL]]</f>
        <v>-21561</v>
      </c>
      <c r="H25" s="192" t="s">
        <v>236</v>
      </c>
    </row>
    <row r="26" spans="1:8" ht="18">
      <c r="A26" s="154"/>
      <c r="B26" s="108" t="s">
        <v>11</v>
      </c>
      <c r="C26" s="149">
        <v>100378</v>
      </c>
      <c r="D26" s="149">
        <v>100378</v>
      </c>
      <c r="E26" s="149">
        <v>99270</v>
      </c>
      <c r="F26" s="149">
        <v>1000</v>
      </c>
      <c r="G26" s="149">
        <f>Tableau11[[#This Row],[VERSEMENT]]+Tableau11[[#This Row],[CHARGE]]-Tableau11[[#This Row],[T.LOGICIEL]]</f>
        <v>-108</v>
      </c>
      <c r="H26" s="192" t="s">
        <v>237</v>
      </c>
    </row>
    <row r="27" spans="1:8" ht="54.6" thickBot="1">
      <c r="A27" s="154"/>
      <c r="B27" s="108" t="s">
        <v>176</v>
      </c>
      <c r="C27" s="149"/>
      <c r="D27" s="149"/>
      <c r="E27" s="149">
        <f>5000+180-14000</f>
        <v>-8820</v>
      </c>
      <c r="F27" s="149">
        <f>7000+7000</f>
        <v>14000</v>
      </c>
      <c r="G27" s="149"/>
      <c r="H27" s="192" t="s">
        <v>238</v>
      </c>
    </row>
    <row r="28" spans="1:8" ht="19.2" thickTop="1" thickBot="1">
      <c r="A28" s="166"/>
      <c r="B28" s="161"/>
      <c r="C28" s="162"/>
      <c r="D28" s="167" t="s">
        <v>125</v>
      </c>
      <c r="E28" s="167">
        <f>SUBTOTAL(9,E23:E27)</f>
        <v>678170</v>
      </c>
      <c r="F28" s="167">
        <f>SUBTOTAL(9,F23:F27)</f>
        <v>16000</v>
      </c>
      <c r="G28" s="167">
        <f>SUBTOTAL(9,G23:G27)</f>
        <v>-21608</v>
      </c>
      <c r="H28" s="164"/>
    </row>
    <row r="29" spans="1:8" ht="18.600000000000001" thickTop="1">
      <c r="A29" s="159">
        <v>45966</v>
      </c>
      <c r="B29" s="108" t="s">
        <v>59</v>
      </c>
      <c r="C29" s="152"/>
      <c r="D29" s="149">
        <v>202155</v>
      </c>
      <c r="E29" s="149">
        <v>202155</v>
      </c>
      <c r="F29" s="149"/>
      <c r="G29" s="149">
        <f>Tableau11[[#This Row],[VERSEMENT]]+Tableau11[[#This Row],[CHARGE]]-Tableau11[[#This Row],[T.LOGICIEL]]</f>
        <v>0</v>
      </c>
      <c r="H29" s="153"/>
    </row>
    <row r="30" spans="1:8" ht="36">
      <c r="A30" s="159"/>
      <c r="B30" s="108" t="s">
        <v>13</v>
      </c>
      <c r="C30" s="110">
        <v>103313</v>
      </c>
      <c r="D30" s="149">
        <v>100653</v>
      </c>
      <c r="E30" s="149">
        <v>95635</v>
      </c>
      <c r="F30" s="149"/>
      <c r="G30" s="149">
        <f>Tableau11[[#This Row],[VERSEMENT]]+Tableau11[[#This Row],[CHARGE]]-Tableau11[[#This Row],[T.LOGICIEL]]</f>
        <v>-5018</v>
      </c>
      <c r="H30" s="192" t="s">
        <v>239</v>
      </c>
    </row>
    <row r="31" spans="1:8" ht="72">
      <c r="A31" s="154"/>
      <c r="B31" s="108" t="s">
        <v>30</v>
      </c>
      <c r="C31" s="149">
        <v>203354</v>
      </c>
      <c r="D31" s="149">
        <f>141974</f>
        <v>141974</v>
      </c>
      <c r="E31" s="149">
        <f>129190</f>
        <v>129190</v>
      </c>
      <c r="F31" s="149">
        <f>1200</f>
        <v>1200</v>
      </c>
      <c r="G31" s="149">
        <f>Tableau11[[#This Row],[VERSEMENT]]+Tableau11[[#This Row],[CHARGE]]-Tableau11[[#This Row],[T.LOGICIEL]]</f>
        <v>-11584</v>
      </c>
      <c r="H31" s="192" t="s">
        <v>240</v>
      </c>
    </row>
    <row r="32" spans="1:8" ht="18">
      <c r="A32" s="154"/>
      <c r="B32" s="108" t="s">
        <v>11</v>
      </c>
      <c r="C32" s="149">
        <v>105258</v>
      </c>
      <c r="D32" s="149">
        <v>105258</v>
      </c>
      <c r="E32" s="149">
        <f>105250-1000</f>
        <v>104250</v>
      </c>
      <c r="F32" s="149"/>
      <c r="G32" s="149">
        <f>Tableau11[[#This Row],[VERSEMENT]]+Tableau11[[#This Row],[CHARGE]]-Tableau11[[#This Row],[T.LOGICIEL]]</f>
        <v>-1008</v>
      </c>
      <c r="H32" s="192" t="s">
        <v>241</v>
      </c>
    </row>
    <row r="33" spans="1:8" ht="18.600000000000001" thickBot="1">
      <c r="A33" s="154"/>
      <c r="B33" s="108" t="s">
        <v>176</v>
      </c>
      <c r="C33" s="149"/>
      <c r="D33" s="149"/>
      <c r="E33" s="149">
        <f>-1000</f>
        <v>-1000</v>
      </c>
      <c r="F33" s="149"/>
      <c r="G33" s="149"/>
      <c r="H33" s="192" t="s">
        <v>242</v>
      </c>
    </row>
    <row r="34" spans="1:8" ht="19.2" thickTop="1" thickBot="1">
      <c r="A34" s="166"/>
      <c r="B34" s="161"/>
      <c r="C34" s="162"/>
      <c r="D34" s="163" t="s">
        <v>125</v>
      </c>
      <c r="E34" s="163">
        <f>SUBTOTAL(9,E29:E33)</f>
        <v>530230</v>
      </c>
      <c r="F34" s="163">
        <f>SUBTOTAL(9,F29:F33)</f>
        <v>1200</v>
      </c>
      <c r="G34" s="163">
        <f>SUBTOTAL(9,G29:G33)</f>
        <v>-17610</v>
      </c>
      <c r="H34" s="164"/>
    </row>
    <row r="35" spans="1:8" ht="18.600000000000001" thickTop="1">
      <c r="A35" s="159">
        <v>45967</v>
      </c>
      <c r="B35" s="108" t="s">
        <v>59</v>
      </c>
      <c r="C35" s="152"/>
      <c r="D35" s="149">
        <v>188687</v>
      </c>
      <c r="E35" s="149">
        <v>188685</v>
      </c>
      <c r="F35" s="149"/>
      <c r="G35" s="149">
        <f>Tableau11[[#This Row],[VERSEMENT]]+Tableau11[[#This Row],[CHARGE]]-Tableau11[[#This Row],[T.LOGICIEL]]</f>
        <v>-2</v>
      </c>
      <c r="H35" s="153"/>
    </row>
    <row r="36" spans="1:8" ht="36">
      <c r="A36" s="154"/>
      <c r="B36" s="108" t="s">
        <v>13</v>
      </c>
      <c r="C36" s="149">
        <v>207195</v>
      </c>
      <c r="D36" s="149">
        <v>197860</v>
      </c>
      <c r="E36" s="149">
        <f>197860-(145*3)</f>
        <v>197425</v>
      </c>
      <c r="F36" s="149"/>
      <c r="G36" s="149">
        <f>Tableau11[[#This Row],[VERSEMENT]]+Tableau11[[#This Row],[CHARGE]]-Tableau11[[#This Row],[T.LOGICIEL]]</f>
        <v>-435</v>
      </c>
      <c r="H36" s="192" t="s">
        <v>243</v>
      </c>
    </row>
    <row r="37" spans="1:8" ht="36">
      <c r="A37" s="154"/>
      <c r="B37" s="108" t="s">
        <v>30</v>
      </c>
      <c r="C37" s="110">
        <v>174395</v>
      </c>
      <c r="D37" s="149">
        <v>174395</v>
      </c>
      <c r="E37" s="149">
        <f>362125</f>
        <v>362125</v>
      </c>
      <c r="F37" s="149"/>
      <c r="G37" s="149">
        <f>Tableau11[[#This Row],[VERSEMENT]]+Tableau11[[#This Row],[CHARGE]]-Tableau11[[#This Row],[T.LOGICIEL]]</f>
        <v>187730</v>
      </c>
      <c r="H37" s="192" t="s">
        <v>244</v>
      </c>
    </row>
    <row r="38" spans="1:8" ht="36">
      <c r="A38" s="154"/>
      <c r="B38" s="108" t="s">
        <v>11</v>
      </c>
      <c r="C38" s="149">
        <v>177263</v>
      </c>
      <c r="D38" s="149">
        <v>173263</v>
      </c>
      <c r="E38" s="149">
        <f>173260-410</f>
        <v>172850</v>
      </c>
      <c r="F38" s="149"/>
      <c r="G38" s="149">
        <f>Tableau11[[#This Row],[VERSEMENT]]+Tableau11[[#This Row],[CHARGE]]-Tableau11[[#This Row],[T.LOGICIEL]]</f>
        <v>-413</v>
      </c>
      <c r="H38" s="192" t="s">
        <v>245</v>
      </c>
    </row>
    <row r="39" spans="1:8" ht="36.6" thickBot="1">
      <c r="A39" s="154"/>
      <c r="B39" s="108" t="s">
        <v>176</v>
      </c>
      <c r="C39" s="149"/>
      <c r="D39" s="149"/>
      <c r="E39" s="149">
        <f>3405+250+200</f>
        <v>3855</v>
      </c>
      <c r="F39" s="149"/>
      <c r="G39" s="149"/>
      <c r="H39" s="192" t="s">
        <v>246</v>
      </c>
    </row>
    <row r="40" spans="1:8" ht="19.2" thickTop="1" thickBot="1">
      <c r="A40" s="166"/>
      <c r="B40" s="161"/>
      <c r="C40" s="163"/>
      <c r="D40" s="163" t="s">
        <v>125</v>
      </c>
      <c r="E40" s="163">
        <f>SUBTOTAL(9,E35:E39)</f>
        <v>924940</v>
      </c>
      <c r="F40" s="163">
        <f>SUBTOTAL(9,F35:F39)</f>
        <v>0</v>
      </c>
      <c r="G40" s="163">
        <f>SUBTOTAL(9,G35:G39)</f>
        <v>186880</v>
      </c>
      <c r="H40" s="164"/>
    </row>
    <row r="41" spans="1:8" ht="18.600000000000001" thickTop="1">
      <c r="A41" s="159">
        <v>45969</v>
      </c>
      <c r="B41" s="108" t="s">
        <v>59</v>
      </c>
      <c r="C41" s="149"/>
      <c r="D41" s="149">
        <f>242992</f>
        <v>242992</v>
      </c>
      <c r="E41" s="149">
        <v>242000</v>
      </c>
      <c r="F41" s="149"/>
      <c r="G41" s="149">
        <f>Tableau11[[#This Row],[VERSEMENT]]+Tableau11[[#This Row],[CHARGE]]-Tableau11[[#This Row],[T.LOGICIEL]]</f>
        <v>-992</v>
      </c>
      <c r="H41" s="206"/>
    </row>
    <row r="42" spans="1:8" ht="90">
      <c r="A42" s="159"/>
      <c r="B42" s="108" t="s">
        <v>13</v>
      </c>
      <c r="C42" s="193">
        <v>167296</v>
      </c>
      <c r="D42" s="149">
        <v>157901</v>
      </c>
      <c r="E42" s="149">
        <f>157901-1500-6000-870-145</f>
        <v>149386</v>
      </c>
      <c r="F42" s="149">
        <f>500+1000</f>
        <v>1500</v>
      </c>
      <c r="G42" s="149">
        <f>Tableau11[[#This Row],[VERSEMENT]]+Tableau11[[#This Row],[CHARGE]]-Tableau11[[#This Row],[T.LOGICIEL]]</f>
        <v>-7015</v>
      </c>
      <c r="H42" s="192" t="s">
        <v>247</v>
      </c>
    </row>
    <row r="43" spans="1:8" ht="90">
      <c r="A43" s="137"/>
      <c r="B43" s="108" t="s">
        <v>30</v>
      </c>
      <c r="C43" s="149">
        <v>259856</v>
      </c>
      <c r="D43" s="149">
        <f>245716</f>
        <v>245716</v>
      </c>
      <c r="E43" s="149">
        <f>221350</f>
        <v>221350</v>
      </c>
      <c r="F43" s="149">
        <v>1000</v>
      </c>
      <c r="G43" s="149">
        <f>Tableau11[[#This Row],[VERSEMENT]]+Tableau11[[#This Row],[CHARGE]]-Tableau11[[#This Row],[T.LOGICIEL]]</f>
        <v>-23366</v>
      </c>
      <c r="H43" s="192" t="s">
        <v>248</v>
      </c>
    </row>
    <row r="44" spans="1:8" ht="18">
      <c r="A44" s="137"/>
      <c r="B44" s="108" t="s">
        <v>11</v>
      </c>
      <c r="C44" s="149">
        <v>196842</v>
      </c>
      <c r="D44" s="149">
        <f>196842-(145*4)-(5*145)</f>
        <v>195537</v>
      </c>
      <c r="E44" s="149">
        <v>195520</v>
      </c>
      <c r="F44" s="149"/>
      <c r="G44" s="149">
        <f>Tableau11[[#This Row],[VERSEMENT]]+Tableau11[[#This Row],[CHARGE]]-Tableau11[[#This Row],[T.LOGICIEL]]</f>
        <v>-17</v>
      </c>
      <c r="H44" s="205" t="s">
        <v>249</v>
      </c>
    </row>
    <row r="45" spans="1:8" ht="36.6" thickBot="1">
      <c r="A45" s="137"/>
      <c r="B45" s="108" t="s">
        <v>176</v>
      </c>
      <c r="C45" s="149"/>
      <c r="D45" s="149"/>
      <c r="E45" s="149">
        <f>500</f>
        <v>500</v>
      </c>
      <c r="F45" s="149"/>
      <c r="G45" s="149"/>
      <c r="H45" s="153" t="s">
        <v>250</v>
      </c>
    </row>
    <row r="46" spans="1:8" ht="19.2" thickTop="1" thickBot="1">
      <c r="A46" s="160"/>
      <c r="B46" s="161"/>
      <c r="C46" s="163">
        <f>SUBTOTAL(9,C41:C45)</f>
        <v>623994</v>
      </c>
      <c r="D46" s="163" t="s">
        <v>125</v>
      </c>
      <c r="E46" s="163">
        <f>SUBTOTAL(9,E41:E45)</f>
        <v>808756</v>
      </c>
      <c r="F46" s="163">
        <f>SUBTOTAL(9,F41:F45)</f>
        <v>2500</v>
      </c>
      <c r="G46" s="163">
        <f>SUBTOTAL(9,G41:G45)</f>
        <v>-31390</v>
      </c>
      <c r="H46" s="164"/>
    </row>
    <row r="47" spans="1:8" ht="18.600000000000001" thickTop="1">
      <c r="A47" s="158">
        <v>45970</v>
      </c>
      <c r="B47" s="108" t="s">
        <v>59</v>
      </c>
      <c r="C47" s="149"/>
      <c r="D47" s="149">
        <v>250946</v>
      </c>
      <c r="E47" s="149">
        <v>215900</v>
      </c>
      <c r="F47" s="149"/>
      <c r="G47" s="149">
        <f>Tableau11[[#This Row],[VERSEMENT]]+Tableau11[[#This Row],[CHARGE]]-Tableau11[[#This Row],[T.LOGICIEL]]</f>
        <v>-35046</v>
      </c>
      <c r="H47" s="200" t="s">
        <v>251</v>
      </c>
    </row>
    <row r="48" spans="1:8" ht="54">
      <c r="A48" s="137"/>
      <c r="B48" s="108" t="s">
        <v>13</v>
      </c>
      <c r="C48" s="149">
        <v>175503</v>
      </c>
      <c r="D48" s="149">
        <v>173478</v>
      </c>
      <c r="E48" s="149">
        <f>173478-1000-290</f>
        <v>172188</v>
      </c>
      <c r="F48" s="149">
        <v>1000</v>
      </c>
      <c r="G48" s="149">
        <f>Tableau11[[#This Row],[VERSEMENT]]+Tableau11[[#This Row],[CHARGE]]-Tableau11[[#This Row],[T.LOGICIEL]]</f>
        <v>-290</v>
      </c>
      <c r="H48" s="192" t="s">
        <v>252</v>
      </c>
    </row>
    <row r="49" spans="1:8" ht="36">
      <c r="A49" s="137"/>
      <c r="B49" s="108" t="s">
        <v>30</v>
      </c>
      <c r="C49" s="193">
        <v>62831</v>
      </c>
      <c r="D49" s="149">
        <v>59591</v>
      </c>
      <c r="E49" s="149">
        <f>59591-910</f>
        <v>58681</v>
      </c>
      <c r="F49" s="149">
        <v>910</v>
      </c>
      <c r="G49" s="149">
        <f>Tableau11[[#This Row],[VERSEMENT]]+Tableau11[[#This Row],[CHARGE]]-Tableau11[[#This Row],[T.LOGICIEL]]</f>
        <v>0</v>
      </c>
      <c r="H49" s="192" t="s">
        <v>253</v>
      </c>
    </row>
    <row r="50" spans="1:8" ht="72">
      <c r="A50" s="137"/>
      <c r="B50" s="108" t="s">
        <v>11</v>
      </c>
      <c r="C50" s="149">
        <v>244360</v>
      </c>
      <c r="D50" s="149">
        <v>242360</v>
      </c>
      <c r="E50" s="149">
        <f>240545</f>
        <v>240545</v>
      </c>
      <c r="F50" s="149">
        <v>1000</v>
      </c>
      <c r="G50" s="149">
        <f>Tableau11[[#This Row],[VERSEMENT]]+Tableau11[[#This Row],[CHARGE]]-Tableau11[[#This Row],[T.LOGICIEL]]</f>
        <v>-815</v>
      </c>
      <c r="H50" s="192" t="s">
        <v>254</v>
      </c>
    </row>
    <row r="51" spans="1:8" ht="18.600000000000001" thickBot="1">
      <c r="A51" s="137"/>
      <c r="B51" s="108" t="s">
        <v>176</v>
      </c>
      <c r="C51" s="149"/>
      <c r="D51" s="149"/>
      <c r="E51" s="149">
        <f>950</f>
        <v>950</v>
      </c>
      <c r="F51" s="149"/>
      <c r="G51" s="149">
        <v>0</v>
      </c>
      <c r="H51" s="192" t="s">
        <v>255</v>
      </c>
    </row>
    <row r="52" spans="1:8" ht="19.2" thickTop="1" thickBot="1">
      <c r="A52" s="160"/>
      <c r="B52" s="161"/>
      <c r="C52" s="163"/>
      <c r="D52" s="163" t="s">
        <v>125</v>
      </c>
      <c r="E52" s="163">
        <f>SUBTOTAL(9,E47:E51)</f>
        <v>688264</v>
      </c>
      <c r="F52" s="163">
        <f>SUBTOTAL(9,F47:F51)</f>
        <v>2910</v>
      </c>
      <c r="G52" s="163">
        <f>SUBTOTAL(9,G47:G51)</f>
        <v>-36151</v>
      </c>
      <c r="H52" s="164"/>
    </row>
    <row r="53" spans="1:8" ht="72.599999999999994" thickTop="1">
      <c r="A53" s="195">
        <v>45971</v>
      </c>
      <c r="B53" s="108" t="s">
        <v>59</v>
      </c>
      <c r="C53" s="149"/>
      <c r="D53" s="149">
        <v>261456</v>
      </c>
      <c r="E53" s="149">
        <v>224000</v>
      </c>
      <c r="F53" s="149"/>
      <c r="G53" s="149">
        <f>Tableau11[[#This Row],[VERSEMENT]]+Tableau11[[#This Row],[CHARGE]]-Tableau11[[#This Row],[T.LOGICIEL]]</f>
        <v>-37456</v>
      </c>
      <c r="H53" s="200" t="s">
        <v>256</v>
      </c>
    </row>
    <row r="54" spans="1:8" ht="18">
      <c r="A54" s="137"/>
      <c r="B54" s="108" t="s">
        <v>13</v>
      </c>
      <c r="C54" s="149">
        <v>110548</v>
      </c>
      <c r="D54" s="149">
        <v>110548</v>
      </c>
      <c r="E54" s="149">
        <f>110450</f>
        <v>110450</v>
      </c>
      <c r="F54" s="149">
        <v>100</v>
      </c>
      <c r="G54" s="149">
        <f>Tableau11[[#This Row],[VERSEMENT]]+Tableau11[[#This Row],[CHARGE]]-Tableau11[[#This Row],[T.LOGICIEL]]</f>
        <v>2</v>
      </c>
      <c r="H54" s="192" t="s">
        <v>257</v>
      </c>
    </row>
    <row r="55" spans="1:8" ht="72">
      <c r="A55" s="137"/>
      <c r="B55" s="108" t="s">
        <v>30</v>
      </c>
      <c r="C55" s="193">
        <v>162376</v>
      </c>
      <c r="D55" s="149">
        <f>294299-154050</f>
        <v>140249</v>
      </c>
      <c r="E55" s="149">
        <f>140249-(8*145)-22000</f>
        <v>117089</v>
      </c>
      <c r="F55" s="149">
        <v>0</v>
      </c>
      <c r="G55" s="149">
        <f>Tableau11[[#This Row],[VERSEMENT]]+Tableau11[[#This Row],[CHARGE]]-Tableau11[[#This Row],[T.LOGICIEL]]</f>
        <v>-23160</v>
      </c>
      <c r="H55" s="192" t="s">
        <v>258</v>
      </c>
    </row>
    <row r="56" spans="1:8" ht="18">
      <c r="A56" s="137"/>
      <c r="B56" s="108" t="s">
        <v>11</v>
      </c>
      <c r="C56" s="149">
        <f>189019-86700</f>
        <v>102319</v>
      </c>
      <c r="D56" s="149">
        <v>102319</v>
      </c>
      <c r="E56" s="149">
        <f>102319-(145*6)</f>
        <v>101449</v>
      </c>
      <c r="F56" s="149"/>
      <c r="G56" s="149">
        <f>Tableau11[[#This Row],[VERSEMENT]]+Tableau11[[#This Row],[CHARGE]]-Tableau11[[#This Row],[T.LOGICIEL]]</f>
        <v>-870</v>
      </c>
      <c r="H56" s="192" t="s">
        <v>259</v>
      </c>
    </row>
    <row r="57" spans="1:8" ht="18.600000000000001" thickBot="1">
      <c r="A57" s="137"/>
      <c r="B57" s="108" t="s">
        <v>176</v>
      </c>
      <c r="C57" s="149"/>
      <c r="D57" s="149"/>
      <c r="E57" s="149">
        <f>-5000</f>
        <v>-5000</v>
      </c>
      <c r="F57" s="149"/>
      <c r="G57" s="149"/>
      <c r="H57" s="192" t="s">
        <v>260</v>
      </c>
    </row>
    <row r="58" spans="1:8" ht="19.2" thickTop="1" thickBot="1">
      <c r="A58" s="160"/>
      <c r="B58" s="161"/>
      <c r="C58" s="162"/>
      <c r="D58" s="163" t="s">
        <v>125</v>
      </c>
      <c r="E58" s="163">
        <f>SUBTOTAL(9,E53:E57)</f>
        <v>547988</v>
      </c>
      <c r="F58" s="163">
        <f>SUBTOTAL(9,F53:F57)</f>
        <v>100</v>
      </c>
      <c r="G58" s="163">
        <f>SUBTOTAL(9,G53:G57)</f>
        <v>-61484</v>
      </c>
      <c r="H58" s="164"/>
    </row>
    <row r="59" spans="1:8" ht="18.600000000000001" thickTop="1">
      <c r="A59" s="159">
        <v>45972</v>
      </c>
      <c r="B59" s="108" t="s">
        <v>59</v>
      </c>
      <c r="C59" s="152"/>
      <c r="D59" s="149">
        <v>244059</v>
      </c>
      <c r="E59" s="149">
        <v>267560</v>
      </c>
      <c r="F59" s="149"/>
      <c r="G59" s="149">
        <f>Tableau11[[#This Row],[VERSEMENT]]+Tableau11[[#This Row],[CHARGE]]-Tableau11[[#This Row],[T.LOGICIEL]]</f>
        <v>23501</v>
      </c>
      <c r="H59" s="200" t="s">
        <v>261</v>
      </c>
    </row>
    <row r="60" spans="1:8" ht="90">
      <c r="A60" s="159"/>
      <c r="B60" s="108" t="s">
        <v>13</v>
      </c>
      <c r="C60" s="193">
        <v>152180</v>
      </c>
      <c r="D60" s="149">
        <v>151950</v>
      </c>
      <c r="E60" s="149">
        <f>151950-(5*145)-1000-1500-85</f>
        <v>148640</v>
      </c>
      <c r="F60" s="149">
        <f>1000</f>
        <v>1000</v>
      </c>
      <c r="G60" s="149">
        <f>Tableau11[[#This Row],[VERSEMENT]]+Tableau11[[#This Row],[CHARGE]]-Tableau11[[#This Row],[T.LOGICIEL]]</f>
        <v>-2310</v>
      </c>
      <c r="H60" s="192" t="s">
        <v>262</v>
      </c>
    </row>
    <row r="61" spans="1:8" ht="54">
      <c r="A61" s="137"/>
      <c r="B61" s="108" t="s">
        <v>30</v>
      </c>
      <c r="C61" s="193">
        <v>215469</v>
      </c>
      <c r="D61" s="149">
        <f>182259</f>
        <v>182259</v>
      </c>
      <c r="E61" s="149">
        <f>132100</f>
        <v>132100</v>
      </c>
      <c r="F61" s="149"/>
      <c r="G61" s="149">
        <f>Tableau11[[#This Row],[VERSEMENT]]+Tableau11[[#This Row],[CHARGE]]-Tableau11[[#This Row],[T.LOGICIEL]]</f>
        <v>-50159</v>
      </c>
      <c r="H61" s="192" t="s">
        <v>263</v>
      </c>
    </row>
    <row r="62" spans="1:8" ht="54">
      <c r="A62" s="137"/>
      <c r="B62" s="108" t="s">
        <v>11</v>
      </c>
      <c r="C62" s="193">
        <v>88663</v>
      </c>
      <c r="D62" s="149">
        <v>79932</v>
      </c>
      <c r="E62" s="149">
        <f>79932-145-850</f>
        <v>78937</v>
      </c>
      <c r="F62" s="149">
        <v>850</v>
      </c>
      <c r="G62" s="149">
        <f>Tableau11[[#This Row],[VERSEMENT]]+Tableau11[[#This Row],[CHARGE]]-Tableau11[[#This Row],[T.LOGICIEL]]</f>
        <v>-145</v>
      </c>
      <c r="H62" s="192" t="s">
        <v>264</v>
      </c>
    </row>
    <row r="63" spans="1:8" ht="72.599999999999994" thickBot="1">
      <c r="A63" s="137"/>
      <c r="B63" s="108" t="s">
        <v>176</v>
      </c>
      <c r="C63" s="152"/>
      <c r="D63" s="149"/>
      <c r="E63" s="149">
        <f>11580-1000-10000</f>
        <v>580</v>
      </c>
      <c r="F63" s="149">
        <f>10000+7000</f>
        <v>17000</v>
      </c>
      <c r="G63" s="149"/>
      <c r="H63" s="192" t="s">
        <v>265</v>
      </c>
    </row>
    <row r="64" spans="1:8" ht="19.2" thickTop="1" thickBot="1">
      <c r="A64" s="160"/>
      <c r="B64" s="161"/>
      <c r="C64" s="162"/>
      <c r="D64" s="163" t="s">
        <v>125</v>
      </c>
      <c r="E64" s="163">
        <f>SUBTOTAL(9,E59:E63)</f>
        <v>627817</v>
      </c>
      <c r="F64" s="163">
        <f>SUBTOTAL(9,F59:F63)</f>
        <v>18850</v>
      </c>
      <c r="G64" s="163">
        <f>SUBTOTAL(9,G59:G63)</f>
        <v>-29113</v>
      </c>
      <c r="H64" s="164"/>
    </row>
    <row r="65" spans="1:9" ht="18.600000000000001" thickTop="1">
      <c r="A65" s="159">
        <v>45973</v>
      </c>
      <c r="B65" s="108" t="s">
        <v>59</v>
      </c>
      <c r="C65" s="152"/>
      <c r="D65" s="149">
        <f>225844</f>
        <v>225844</v>
      </c>
      <c r="E65" s="149">
        <v>224845</v>
      </c>
      <c r="F65" s="149"/>
      <c r="G65" s="149">
        <f>Tableau11[[#This Row],[VERSEMENT]]+Tableau11[[#This Row],[CHARGE]]-Tableau11[[#This Row],[T.LOGICIEL]]</f>
        <v>-999</v>
      </c>
      <c r="H65" s="206"/>
      <c r="I65" s="207"/>
    </row>
    <row r="66" spans="1:9" ht="36">
      <c r="A66" s="159"/>
      <c r="B66" s="108" t="s">
        <v>13</v>
      </c>
      <c r="C66" s="193">
        <v>163931</v>
      </c>
      <c r="D66" s="149">
        <v>154181</v>
      </c>
      <c r="E66" s="149">
        <f>154181-(145*7)+(27320-145)+(93*12)</f>
        <v>181457</v>
      </c>
      <c r="F66" s="149"/>
      <c r="G66" s="149">
        <f>Tableau11[[#This Row],[VERSEMENT]]+Tableau11[[#This Row],[CHARGE]]-Tableau11[[#This Row],[T.LOGICIEL]]</f>
        <v>27276</v>
      </c>
      <c r="H66" s="192" t="s">
        <v>266</v>
      </c>
      <c r="I66" s="207"/>
    </row>
    <row r="67" spans="1:9" ht="36">
      <c r="A67" s="159"/>
      <c r="B67" s="108" t="s">
        <v>30</v>
      </c>
      <c r="C67" s="193">
        <v>155126</v>
      </c>
      <c r="D67" s="149">
        <f>180131-27320</f>
        <v>152811</v>
      </c>
      <c r="E67" s="149">
        <f>95256+57555-(145*3)</f>
        <v>152376</v>
      </c>
      <c r="F67" s="149"/>
      <c r="G67" s="149">
        <f>Tableau11[[#This Row],[VERSEMENT]]+Tableau11[[#This Row],[CHARGE]]-Tableau11[[#This Row],[T.LOGICIEL]]</f>
        <v>-435</v>
      </c>
      <c r="H67" s="192" t="s">
        <v>267</v>
      </c>
      <c r="I67" s="151"/>
    </row>
    <row r="68" spans="1:9" ht="18">
      <c r="A68" s="159"/>
      <c r="B68" s="108" t="s">
        <v>11</v>
      </c>
      <c r="C68" s="193">
        <v>10313</v>
      </c>
      <c r="D68" s="149">
        <v>103973</v>
      </c>
      <c r="E68" s="149">
        <f>103973-145</f>
        <v>103828</v>
      </c>
      <c r="F68" s="149"/>
      <c r="G68" s="149">
        <f>Tableau11[[#This Row],[VERSEMENT]]+Tableau11[[#This Row],[CHARGE]]-Tableau11[[#This Row],[T.LOGICIEL]]</f>
        <v>-145</v>
      </c>
      <c r="H68" s="192" t="s">
        <v>268</v>
      </c>
      <c r="I68" s="207"/>
    </row>
    <row r="69" spans="1:9" ht="36.6" thickBot="1">
      <c r="A69" s="159"/>
      <c r="B69" s="108" t="s">
        <v>176</v>
      </c>
      <c r="C69" s="193"/>
      <c r="D69" s="149"/>
      <c r="E69" s="149">
        <f>4744-5400</f>
        <v>-656</v>
      </c>
      <c r="F69" s="149">
        <v>5400</v>
      </c>
      <c r="G69" s="149">
        <v>0</v>
      </c>
      <c r="H69" s="192" t="s">
        <v>269</v>
      </c>
      <c r="I69" s="207"/>
    </row>
    <row r="70" spans="1:9" ht="19.2" thickTop="1" thickBot="1">
      <c r="A70" s="165"/>
      <c r="B70" s="161"/>
      <c r="C70" s="162"/>
      <c r="D70" s="163" t="s">
        <v>125</v>
      </c>
      <c r="E70" s="163">
        <f>SUBTOTAL(9,E65:E69)</f>
        <v>661850</v>
      </c>
      <c r="F70" s="163">
        <f>SUBTOTAL(9,F65:F69)</f>
        <v>5400</v>
      </c>
      <c r="G70" s="163">
        <f>SUBTOTAL(9,G65:G69)</f>
        <v>25697</v>
      </c>
      <c r="H70" s="164"/>
      <c r="I70" s="207"/>
    </row>
    <row r="71" spans="1:9" ht="18.600000000000001" thickTop="1">
      <c r="A71" s="181">
        <v>45974</v>
      </c>
      <c r="B71" s="108" t="s">
        <v>59</v>
      </c>
      <c r="C71" s="152"/>
      <c r="D71" s="149">
        <f>232340-420</f>
        <v>231920</v>
      </c>
      <c r="E71" s="149">
        <v>220920</v>
      </c>
      <c r="F71" s="149"/>
      <c r="G71" s="149">
        <f>Tableau11[[#This Row],[VERSEMENT]]+Tableau11[[#This Row],[CHARGE]]-Tableau11[[#This Row],[T.LOGICIEL]]</f>
        <v>-11000</v>
      </c>
      <c r="H71" s="200" t="s">
        <v>270</v>
      </c>
      <c r="I71" s="207"/>
    </row>
    <row r="72" spans="1:9" ht="54">
      <c r="A72" s="159"/>
      <c r="B72" s="108" t="s">
        <v>13</v>
      </c>
      <c r="C72" s="193">
        <v>172137</v>
      </c>
      <c r="D72" s="149">
        <f>168352</f>
        <v>168352</v>
      </c>
      <c r="E72" s="149">
        <f>168352-(145*2)-2000</f>
        <v>166062</v>
      </c>
      <c r="F72" s="149">
        <v>2000</v>
      </c>
      <c r="G72" s="149">
        <f>Tableau11[[#This Row],[VERSEMENT]]+Tableau11[[#This Row],[CHARGE]]-Tableau11[[#This Row],[T.LOGICIEL]]</f>
        <v>-290</v>
      </c>
      <c r="H72" s="192" t="s">
        <v>271</v>
      </c>
      <c r="I72" s="207"/>
    </row>
    <row r="73" spans="1:9" ht="72">
      <c r="A73" s="159"/>
      <c r="B73" s="108" t="s">
        <v>30</v>
      </c>
      <c r="C73" s="193">
        <f>380880-177450</f>
        <v>203430</v>
      </c>
      <c r="D73" s="149">
        <f>380880-117085-19350-177450+122975</f>
        <v>189970</v>
      </c>
      <c r="E73" s="149">
        <f>213000-27025</f>
        <v>185975</v>
      </c>
      <c r="F73" s="149">
        <v>3000</v>
      </c>
      <c r="G73" s="149">
        <f>Tableau11[[#This Row],[VERSEMENT]]+Tableau11[[#This Row],[CHARGE]]-Tableau11[[#This Row],[T.LOGICIEL]]</f>
        <v>-995</v>
      </c>
      <c r="H73" s="192" t="s">
        <v>272</v>
      </c>
      <c r="I73" s="207"/>
    </row>
    <row r="74" spans="1:9" ht="18">
      <c r="A74" s="159"/>
      <c r="B74" s="108" t="s">
        <v>11</v>
      </c>
      <c r="C74" s="193">
        <f>246436+7591</f>
        <v>254027</v>
      </c>
      <c r="D74" s="149">
        <v>254027</v>
      </c>
      <c r="E74" s="149">
        <f>254027-(145*6)</f>
        <v>253157</v>
      </c>
      <c r="F74" s="149"/>
      <c r="G74" s="149">
        <f>Tableau11[[#This Row],[VERSEMENT]]+Tableau11[[#This Row],[CHARGE]]-Tableau11[[#This Row],[T.LOGICIEL]]</f>
        <v>-870</v>
      </c>
      <c r="H74" s="192" t="s">
        <v>273</v>
      </c>
      <c r="I74" s="207"/>
    </row>
    <row r="75" spans="1:9" ht="72.599999999999994" thickBot="1">
      <c r="A75" s="159"/>
      <c r="B75" s="108" t="s">
        <v>176</v>
      </c>
      <c r="C75" s="152"/>
      <c r="D75" s="149"/>
      <c r="E75" s="149">
        <f>1500+27025+6560-5000</f>
        <v>30085</v>
      </c>
      <c r="F75" s="149"/>
      <c r="G75" s="149">
        <v>0</v>
      </c>
      <c r="H75" s="192" t="s">
        <v>274</v>
      </c>
      <c r="I75" s="207"/>
    </row>
    <row r="76" spans="1:9" ht="19.2" thickTop="1" thickBot="1">
      <c r="A76" s="165"/>
      <c r="B76" s="161"/>
      <c r="C76" s="162"/>
      <c r="D76" s="163" t="s">
        <v>125</v>
      </c>
      <c r="E76" s="163">
        <f>SUBTOTAL(9,E71:E75)</f>
        <v>856199</v>
      </c>
      <c r="F76" s="163">
        <f>SUBTOTAL(9,F71:F75)</f>
        <v>5000</v>
      </c>
      <c r="G76" s="163">
        <f>SUBTOTAL(9,G71:G75)</f>
        <v>-13155</v>
      </c>
      <c r="H76" s="164"/>
      <c r="I76" s="207"/>
    </row>
    <row r="77" spans="1:9" ht="18.600000000000001" thickTop="1">
      <c r="A77" s="159">
        <v>45976</v>
      </c>
      <c r="B77" s="108" t="s">
        <v>59</v>
      </c>
      <c r="C77" s="152"/>
      <c r="D77" s="149">
        <v>595800</v>
      </c>
      <c r="E77" s="149">
        <f>595800+11000</f>
        <v>606800</v>
      </c>
      <c r="F77" s="149"/>
      <c r="G77" s="149">
        <f>Tableau11[[#This Row],[VERSEMENT]]+Tableau11[[#This Row],[CHARGE]]-Tableau11[[#This Row],[T.LOGICIEL]]</f>
        <v>11000</v>
      </c>
      <c r="H77" s="200" t="s">
        <v>275</v>
      </c>
      <c r="I77" s="207"/>
    </row>
    <row r="78" spans="1:9" ht="72">
      <c r="A78" s="159"/>
      <c r="B78" s="108" t="s">
        <v>13</v>
      </c>
      <c r="C78" s="152">
        <v>111329</v>
      </c>
      <c r="D78" s="149">
        <v>109865</v>
      </c>
      <c r="E78" s="149">
        <f>109850-13300</f>
        <v>96550</v>
      </c>
      <c r="F78" s="149">
        <f>8800+3500+1000</f>
        <v>13300</v>
      </c>
      <c r="G78" s="149">
        <f>Tableau11[[#This Row],[VERSEMENT]]+Tableau11[[#This Row],[CHARGE]]-Tableau11[[#This Row],[T.LOGICIEL]]</f>
        <v>-15</v>
      </c>
      <c r="H78" s="192" t="s">
        <v>276</v>
      </c>
      <c r="I78" s="207"/>
    </row>
    <row r="79" spans="1:9" ht="36">
      <c r="A79" s="159"/>
      <c r="B79" s="108" t="s">
        <v>30</v>
      </c>
      <c r="C79" s="152">
        <v>220341</v>
      </c>
      <c r="D79" s="149">
        <v>174530</v>
      </c>
      <c r="E79" s="149">
        <v>173250</v>
      </c>
      <c r="F79" s="149">
        <v>1000</v>
      </c>
      <c r="G79" s="149">
        <f>Tableau11[[#This Row],[VERSEMENT]]+Tableau11[[#This Row],[CHARGE]]-Tableau11[[#This Row],[T.LOGICIEL]]</f>
        <v>-280</v>
      </c>
      <c r="H79" s="192" t="s">
        <v>277</v>
      </c>
      <c r="I79" s="207"/>
    </row>
    <row r="80" spans="1:9" ht="18">
      <c r="A80" s="159"/>
      <c r="B80" s="108" t="s">
        <v>11</v>
      </c>
      <c r="C80" s="152"/>
      <c r="D80" s="149">
        <v>145345</v>
      </c>
      <c r="E80" s="149">
        <v>144310</v>
      </c>
      <c r="F80" s="149">
        <v>1000</v>
      </c>
      <c r="G80" s="149">
        <f>Tableau11[[#This Row],[VERSEMENT]]+Tableau11[[#This Row],[CHARGE]]-Tableau11[[#This Row],[T.LOGICIEL]]</f>
        <v>-35</v>
      </c>
      <c r="H80" s="192" t="s">
        <v>278</v>
      </c>
      <c r="I80" s="207"/>
    </row>
    <row r="81" spans="1:8" ht="90.6" thickBot="1">
      <c r="A81" s="159"/>
      <c r="B81" s="108" t="s">
        <v>176</v>
      </c>
      <c r="C81" s="152"/>
      <c r="D81" s="149"/>
      <c r="E81" s="149">
        <f>553800-E77+1000+6000-2000</f>
        <v>-48000</v>
      </c>
      <c r="F81" s="149">
        <v>10000</v>
      </c>
      <c r="G81" s="149"/>
      <c r="H81" s="192" t="s">
        <v>279</v>
      </c>
    </row>
    <row r="82" spans="1:8" ht="19.2" thickTop="1" thickBot="1">
      <c r="A82" s="165"/>
      <c r="B82" s="161"/>
      <c r="C82" s="162"/>
      <c r="D82" s="163" t="s">
        <v>125</v>
      </c>
      <c r="E82" s="163">
        <f>SUBTOTAL(9,E77:E81)</f>
        <v>972910</v>
      </c>
      <c r="F82" s="163">
        <f>SUBTOTAL(9,F77:F81)</f>
        <v>25300</v>
      </c>
      <c r="G82" s="163">
        <f>SUBTOTAL(9,G77:G81)</f>
        <v>10670</v>
      </c>
      <c r="H82" s="164"/>
    </row>
    <row r="83" spans="1:8" ht="18.600000000000001" thickTop="1">
      <c r="A83" s="159">
        <v>45977</v>
      </c>
      <c r="B83" s="108" t="s">
        <v>59</v>
      </c>
      <c r="C83" s="152"/>
      <c r="D83" s="149">
        <v>175028</v>
      </c>
      <c r="E83" s="149">
        <f>175030-1070</f>
        <v>173960</v>
      </c>
      <c r="F83" s="149"/>
      <c r="G83" s="149">
        <f>Tableau11[[#This Row],[VERSEMENT]]+Tableau11[[#This Row],[CHARGE]]-Tableau11[[#This Row],[T.LOGICIEL]]</f>
        <v>-1068</v>
      </c>
      <c r="H83" s="206"/>
    </row>
    <row r="84" spans="1:8" ht="54">
      <c r="A84" s="159"/>
      <c r="B84" s="108" t="s">
        <v>13</v>
      </c>
      <c r="C84" s="152">
        <v>167985</v>
      </c>
      <c r="D84" s="149">
        <v>166835</v>
      </c>
      <c r="E84" s="149">
        <f>166345</f>
        <v>166345</v>
      </c>
      <c r="F84" s="149"/>
      <c r="G84" s="149">
        <f>Tableau11[[#This Row],[VERSEMENT]]+Tableau11[[#This Row],[CHARGE]]-Tableau11[[#This Row],[T.LOGICIEL]]</f>
        <v>-490</v>
      </c>
      <c r="H84" s="192" t="s">
        <v>280</v>
      </c>
    </row>
    <row r="85" spans="1:8" ht="18">
      <c r="A85" s="159"/>
      <c r="B85" s="108" t="s">
        <v>30</v>
      </c>
      <c r="C85" s="194"/>
      <c r="D85" s="149">
        <v>156993</v>
      </c>
      <c r="E85" s="149">
        <v>157710</v>
      </c>
      <c r="F85" s="149"/>
      <c r="G85" s="149">
        <f>Tableau11[[#This Row],[VERSEMENT]]+Tableau11[[#This Row],[CHARGE]]-Tableau11[[#This Row],[T.LOGICIEL]]</f>
        <v>717</v>
      </c>
      <c r="H85" s="153"/>
    </row>
    <row r="86" spans="1:8" ht="36">
      <c r="A86" s="159"/>
      <c r="B86" s="108" t="s">
        <v>11</v>
      </c>
      <c r="C86" s="152"/>
      <c r="D86" s="149">
        <v>213969</v>
      </c>
      <c r="E86" s="149">
        <v>186345</v>
      </c>
      <c r="F86" s="149"/>
      <c r="G86" s="149">
        <f>Tableau11[[#This Row],[VERSEMENT]]+Tableau11[[#This Row],[CHARGE]]-Tableau11[[#This Row],[T.LOGICIEL]]</f>
        <v>-27624</v>
      </c>
      <c r="H86" s="192" t="s">
        <v>281</v>
      </c>
    </row>
    <row r="87" spans="1:8" ht="18.600000000000001" thickBot="1">
      <c r="A87" s="159"/>
      <c r="B87" s="108" t="s">
        <v>176</v>
      </c>
      <c r="C87" s="152"/>
      <c r="D87" s="149"/>
      <c r="E87" s="149"/>
      <c r="F87" s="149">
        <v>7000</v>
      </c>
      <c r="G87" s="149"/>
      <c r="H87" s="192" t="s">
        <v>282</v>
      </c>
    </row>
    <row r="88" spans="1:8" ht="19.2" thickTop="1" thickBot="1">
      <c r="A88" s="165"/>
      <c r="B88" s="161"/>
      <c r="C88" s="162"/>
      <c r="D88" s="163" t="s">
        <v>125</v>
      </c>
      <c r="E88" s="163">
        <f>SUBTOTAL(9,E83:E87)</f>
        <v>684360</v>
      </c>
      <c r="F88" s="163">
        <f>SUBTOTAL(9,F83:F87)</f>
        <v>7000</v>
      </c>
      <c r="G88" s="163">
        <f>SUBTOTAL(9,G83:G87)</f>
        <v>-28465</v>
      </c>
      <c r="H88" s="164"/>
    </row>
    <row r="89" spans="1:8" ht="18.600000000000001" thickTop="1">
      <c r="A89" s="159">
        <v>45978</v>
      </c>
      <c r="B89" s="108" t="s">
        <v>59</v>
      </c>
      <c r="C89" s="152"/>
      <c r="D89" s="149">
        <v>191654</v>
      </c>
      <c r="E89" s="149">
        <v>191655</v>
      </c>
      <c r="F89" s="149"/>
      <c r="G89" s="149">
        <f>Tableau11[[#This Row],[VERSEMENT]]+Tableau11[[#This Row],[CHARGE]]-Tableau11[[#This Row],[T.LOGICIEL]]</f>
        <v>1</v>
      </c>
      <c r="H89" s="192"/>
    </row>
    <row r="90" spans="1:8" ht="36">
      <c r="A90" s="159"/>
      <c r="B90" s="108" t="s">
        <v>13</v>
      </c>
      <c r="C90" s="193">
        <v>126862</v>
      </c>
      <c r="D90" s="149">
        <v>125485</v>
      </c>
      <c r="E90" s="149">
        <v>125480</v>
      </c>
      <c r="F90" s="149"/>
      <c r="G90" s="149">
        <f>Tableau11[[#This Row],[VERSEMENT]]+Tableau11[[#This Row],[CHARGE]]-Tableau11[[#This Row],[T.LOGICIEL]]</f>
        <v>-5</v>
      </c>
      <c r="H90" s="192" t="s">
        <v>283</v>
      </c>
    </row>
    <row r="91" spans="1:8" ht="72">
      <c r="A91" s="159"/>
      <c r="B91" s="108" t="s">
        <v>30</v>
      </c>
      <c r="C91" s="193">
        <v>170749</v>
      </c>
      <c r="D91" s="149">
        <f>149828</f>
        <v>149828</v>
      </c>
      <c r="E91" s="149">
        <f>83565-250</f>
        <v>83315</v>
      </c>
      <c r="F91" s="149">
        <v>250</v>
      </c>
      <c r="G91" s="149">
        <f>Tableau11[[#This Row],[VERSEMENT]]+Tableau11[[#This Row],[CHARGE]]-Tableau11[[#This Row],[T.LOGICIEL]]</f>
        <v>-66263</v>
      </c>
      <c r="H91" s="192" t="s">
        <v>284</v>
      </c>
    </row>
    <row r="92" spans="1:8" ht="72">
      <c r="A92" s="159"/>
      <c r="B92" s="108" t="s">
        <v>11</v>
      </c>
      <c r="C92" s="193">
        <v>53547</v>
      </c>
      <c r="D92" s="149">
        <f>53263</f>
        <v>53263</v>
      </c>
      <c r="E92" s="149">
        <f>53263-(145*2)-6800-3</f>
        <v>46170</v>
      </c>
      <c r="F92" s="149"/>
      <c r="G92" s="149">
        <f>Tableau11[[#This Row],[VERSEMENT]]+Tableau11[[#This Row],[CHARGE]]-Tableau11[[#This Row],[T.LOGICIEL]]</f>
        <v>-7093</v>
      </c>
      <c r="H92" s="192" t="s">
        <v>285</v>
      </c>
    </row>
    <row r="93" spans="1:8" ht="126.6" thickBot="1">
      <c r="A93" s="159"/>
      <c r="B93" s="108" t="s">
        <v>176</v>
      </c>
      <c r="C93" s="152"/>
      <c r="D93" s="149"/>
      <c r="E93" s="149">
        <f>(2000+600+5000)-(4000+3000+500)+20230+35000</f>
        <v>55330</v>
      </c>
      <c r="F93" s="149">
        <v>4000</v>
      </c>
      <c r="G93" s="149">
        <f>Tableau11[[#This Row],[VERSEMENT]]+Tableau11[[#This Row],[CHARGE]]-Tableau11[[#This Row],[T.LOGICIEL]]</f>
        <v>59330</v>
      </c>
      <c r="H93" s="192" t="s">
        <v>286</v>
      </c>
    </row>
    <row r="94" spans="1:8" ht="19.2" thickTop="1" thickBot="1">
      <c r="A94" s="165"/>
      <c r="B94" s="161"/>
      <c r="C94" s="162"/>
      <c r="D94" s="163" t="s">
        <v>125</v>
      </c>
      <c r="E94" s="163">
        <f>SUBTOTAL(9,E89:E93)</f>
        <v>501950</v>
      </c>
      <c r="F94" s="163">
        <f>SUBTOTAL(9,F89:F93)</f>
        <v>4250</v>
      </c>
      <c r="G94" s="163">
        <f>SUBTOTAL(9,G89:G93)</f>
        <v>-14030</v>
      </c>
      <c r="H94" s="164"/>
    </row>
    <row r="95" spans="1:8" ht="18.600000000000001" thickTop="1">
      <c r="A95" s="195">
        <v>45979</v>
      </c>
      <c r="B95" s="108" t="s">
        <v>59</v>
      </c>
      <c r="C95" s="152"/>
      <c r="D95" s="149">
        <v>202877</v>
      </c>
      <c r="E95" s="149">
        <v>202875</v>
      </c>
      <c r="F95" s="149"/>
      <c r="G95" s="149">
        <f>Tableau11[[#This Row],[VERSEMENT]]+Tableau11[[#This Row],[CHARGE]]-Tableau11[[#This Row],[T.LOGICIEL]]</f>
        <v>-2</v>
      </c>
      <c r="H95" s="153"/>
    </row>
    <row r="96" spans="1:8" ht="18">
      <c r="A96" s="195">
        <v>45979</v>
      </c>
      <c r="B96" s="108" t="s">
        <v>13</v>
      </c>
      <c r="C96" s="193">
        <v>151037</v>
      </c>
      <c r="D96" s="149">
        <v>145142</v>
      </c>
      <c r="E96" s="149">
        <f>145142-(145*2)</f>
        <v>144852</v>
      </c>
      <c r="F96" s="149">
        <v>0</v>
      </c>
      <c r="G96" s="149">
        <f>Tableau11[[#This Row],[VERSEMENT]]+Tableau11[[#This Row],[CHARGE]]-Tableau11[[#This Row],[T.LOGICIEL]]</f>
        <v>-290</v>
      </c>
      <c r="H96" s="192" t="s">
        <v>287</v>
      </c>
    </row>
    <row r="97" spans="1:8" ht="18">
      <c r="A97" s="195">
        <v>45979</v>
      </c>
      <c r="B97" s="108" t="s">
        <v>30</v>
      </c>
      <c r="C97" s="193">
        <f>220662+53625</f>
        <v>274287</v>
      </c>
      <c r="D97" s="149">
        <f>220180+53625</f>
        <v>273805</v>
      </c>
      <c r="E97" s="149">
        <f>220180+53625</f>
        <v>273805</v>
      </c>
      <c r="F97" s="149"/>
      <c r="G97" s="149">
        <f>Tableau11[[#This Row],[VERSEMENT]]+Tableau11[[#This Row],[CHARGE]]-Tableau11[[#This Row],[T.LOGICIEL]]</f>
        <v>0</v>
      </c>
      <c r="H97" s="192" t="s">
        <v>288</v>
      </c>
    </row>
    <row r="98" spans="1:8" ht="54">
      <c r="A98" s="195">
        <v>45979</v>
      </c>
      <c r="B98" s="108" t="s">
        <v>11</v>
      </c>
      <c r="C98" s="193">
        <f>238656-47990+49175</f>
        <v>239841</v>
      </c>
      <c r="D98" s="149">
        <f>188666+49175</f>
        <v>237841</v>
      </c>
      <c r="E98" s="149">
        <f>188666-145-1000-20+49175-200</f>
        <v>236476</v>
      </c>
      <c r="F98" s="149">
        <v>1200</v>
      </c>
      <c r="G98" s="149">
        <f>Tableau11[[#This Row],[VERSEMENT]]+Tableau11[[#This Row],[CHARGE]]-Tableau11[[#This Row],[T.LOGICIEL]]</f>
        <v>-165</v>
      </c>
      <c r="H98" s="192" t="s">
        <v>289</v>
      </c>
    </row>
    <row r="99" spans="1:8" ht="90.6" thickBot="1">
      <c r="A99" s="195">
        <v>45979</v>
      </c>
      <c r="B99" s="108" t="s">
        <v>176</v>
      </c>
      <c r="C99" s="152"/>
      <c r="D99" s="149"/>
      <c r="E99" s="149">
        <f>32000-650-2000+13575-3300</f>
        <v>39625</v>
      </c>
      <c r="F99" s="149"/>
      <c r="G99" s="149">
        <f>Tableau11[[#This Row],[VERSEMENT]]+Tableau11[[#This Row],[CHARGE]]-Tableau11[[#This Row],[T.LOGICIEL]]</f>
        <v>39625</v>
      </c>
      <c r="H99" s="198" t="s">
        <v>290</v>
      </c>
    </row>
    <row r="100" spans="1:8" ht="19.2" thickTop="1" thickBot="1">
      <c r="A100" s="165"/>
      <c r="B100" s="161"/>
      <c r="C100" s="162"/>
      <c r="D100" s="163" t="s">
        <v>125</v>
      </c>
      <c r="E100" s="163">
        <f>SUBTOTAL(9,E95:E99)</f>
        <v>897633</v>
      </c>
      <c r="F100" s="163">
        <f>SUBTOTAL(9,F95:F99)</f>
        <v>1200</v>
      </c>
      <c r="G100" s="163">
        <f>SUBTOTAL(9,G95:G99)</f>
        <v>39168</v>
      </c>
      <c r="H100" s="164"/>
    </row>
    <row r="101" spans="1:8" ht="18.600000000000001" thickTop="1">
      <c r="A101" s="159">
        <v>45980</v>
      </c>
      <c r="B101" s="108" t="s">
        <v>59</v>
      </c>
      <c r="C101" s="152"/>
      <c r="D101" s="149">
        <v>180157</v>
      </c>
      <c r="E101" s="149">
        <v>160150</v>
      </c>
      <c r="F101" s="149"/>
      <c r="G101" s="149">
        <f>Tableau11[[#This Row],[VERSEMENT]]+Tableau11[[#This Row],[CHARGE]]-Tableau11[[#This Row],[T.LOGICIEL]]</f>
        <v>-20007</v>
      </c>
      <c r="H101" s="200" t="s">
        <v>291</v>
      </c>
    </row>
    <row r="102" spans="1:8" ht="108">
      <c r="A102" s="159"/>
      <c r="B102" s="108" t="s">
        <v>13</v>
      </c>
      <c r="C102" s="193">
        <v>153797</v>
      </c>
      <c r="D102" s="149">
        <f>134272</f>
        <v>134272</v>
      </c>
      <c r="E102" s="149">
        <f>134272-1000-85-80</f>
        <v>133107</v>
      </c>
      <c r="F102" s="149">
        <v>1000</v>
      </c>
      <c r="G102" s="149">
        <f>Tableau11[[#This Row],[VERSEMENT]]+Tableau11[[#This Row],[CHARGE]]-Tableau11[[#This Row],[T.LOGICIEL]]</f>
        <v>-165</v>
      </c>
      <c r="H102" s="192" t="s">
        <v>292</v>
      </c>
    </row>
    <row r="103" spans="1:8" ht="108">
      <c r="A103" s="159"/>
      <c r="B103" s="108" t="s">
        <v>30</v>
      </c>
      <c r="C103" s="193">
        <v>402788</v>
      </c>
      <c r="D103" s="149">
        <f>328362+305+50225+19675</f>
        <v>398567</v>
      </c>
      <c r="E103" s="149">
        <f>328000+50225</f>
        <v>378225</v>
      </c>
      <c r="F103" s="149"/>
      <c r="G103" s="149">
        <f>Tableau11[[#This Row],[VERSEMENT]]+Tableau11[[#This Row],[CHARGE]]-Tableau11[[#This Row],[T.LOGICIEL]]</f>
        <v>-20342</v>
      </c>
      <c r="H103" s="192" t="s">
        <v>293</v>
      </c>
    </row>
    <row r="104" spans="1:8" ht="18">
      <c r="A104" s="159"/>
      <c r="B104" s="108" t="s">
        <v>11</v>
      </c>
      <c r="C104" s="193">
        <v>168747</v>
      </c>
      <c r="D104" s="149">
        <v>168747</v>
      </c>
      <c r="E104" s="149">
        <v>168640</v>
      </c>
      <c r="F104" s="149"/>
      <c r="G104" s="149">
        <f>Tableau11[[#This Row],[VERSEMENT]]+Tableau11[[#This Row],[CHARGE]]-Tableau11[[#This Row],[T.LOGICIEL]]</f>
        <v>-107</v>
      </c>
      <c r="H104" s="192"/>
    </row>
    <row r="105" spans="1:8" ht="54.6" thickBot="1">
      <c r="A105" s="159"/>
      <c r="B105" s="108" t="s">
        <v>176</v>
      </c>
      <c r="C105" s="152"/>
      <c r="D105" s="149"/>
      <c r="E105" s="149">
        <f>-900+3000</f>
        <v>2100</v>
      </c>
      <c r="F105" s="149">
        <f>900+7000</f>
        <v>7900</v>
      </c>
      <c r="G105" s="149">
        <f>Tableau11[[#This Row],[VERSEMENT]]+Tableau11[[#This Row],[CHARGE]]-Tableau11[[#This Row],[T.LOGICIEL]]</f>
        <v>10000</v>
      </c>
      <c r="H105" s="192" t="s">
        <v>294</v>
      </c>
    </row>
    <row r="106" spans="1:8" ht="19.2" thickTop="1" thickBot="1">
      <c r="A106" s="165"/>
      <c r="B106" s="161"/>
      <c r="C106" s="162"/>
      <c r="D106" s="163" t="s">
        <v>125</v>
      </c>
      <c r="E106" s="163">
        <f>SUBTOTAL(9,E101:E105)</f>
        <v>842222</v>
      </c>
      <c r="F106" s="163">
        <f t="shared" ref="F106:G106" si="0">SUBTOTAL(9,F101:F105)</f>
        <v>8900</v>
      </c>
      <c r="G106" s="163">
        <f t="shared" si="0"/>
        <v>-30621</v>
      </c>
      <c r="H106" s="164"/>
    </row>
    <row r="107" spans="1:8" ht="18.600000000000001" thickTop="1">
      <c r="A107" s="159">
        <v>45981</v>
      </c>
      <c r="B107" s="108" t="s">
        <v>59</v>
      </c>
      <c r="C107" s="152"/>
      <c r="D107" s="149">
        <v>176527</v>
      </c>
      <c r="E107" s="149">
        <f>196527</f>
        <v>196527</v>
      </c>
      <c r="F107" s="149"/>
      <c r="G107" s="149">
        <f>Tableau11[[#This Row],[VERSEMENT]]+Tableau11[[#This Row],[CHARGE]]-Tableau11[[#This Row],[T.LOGICIEL]]</f>
        <v>20000</v>
      </c>
      <c r="H107" s="200" t="s">
        <v>295</v>
      </c>
    </row>
    <row r="108" spans="1:8" ht="36">
      <c r="A108" s="159"/>
      <c r="B108" s="108" t="s">
        <v>13</v>
      </c>
      <c r="C108" s="193">
        <f>139890+4396</f>
        <v>144286</v>
      </c>
      <c r="D108" s="149">
        <v>133806</v>
      </c>
      <c r="E108" s="149">
        <f>133800+900</f>
        <v>134700</v>
      </c>
      <c r="F108" s="149"/>
      <c r="G108" s="149">
        <f>Tableau11[[#This Row],[VERSEMENT]]+Tableau11[[#This Row],[CHARGE]]-Tableau11[[#This Row],[T.LOGICIEL]]</f>
        <v>894</v>
      </c>
      <c r="H108" s="192" t="s">
        <v>296</v>
      </c>
    </row>
    <row r="109" spans="1:8" ht="90">
      <c r="A109" s="159"/>
      <c r="B109" s="108" t="s">
        <v>30</v>
      </c>
      <c r="C109" s="193">
        <f>221889-65</f>
        <v>221824</v>
      </c>
      <c r="D109" s="149">
        <f>218459</f>
        <v>218459</v>
      </c>
      <c r="E109" s="149">
        <f>202240</f>
        <v>202240</v>
      </c>
      <c r="F109" s="149">
        <v>1000</v>
      </c>
      <c r="G109" s="149">
        <f>Tableau11[[#This Row],[VERSEMENT]]+Tableau11[[#This Row],[CHARGE]]-Tableau11[[#This Row],[T.LOGICIEL]]</f>
        <v>-15219</v>
      </c>
      <c r="H109" s="192" t="s">
        <v>297</v>
      </c>
    </row>
    <row r="110" spans="1:8" ht="36">
      <c r="A110" s="159"/>
      <c r="B110" s="108" t="s">
        <v>11</v>
      </c>
      <c r="C110" s="193">
        <v>371450</v>
      </c>
      <c r="D110" s="149">
        <v>371450</v>
      </c>
      <c r="E110" s="149">
        <f>296775-1000</f>
        <v>295775</v>
      </c>
      <c r="F110" s="149">
        <v>1000</v>
      </c>
      <c r="G110" s="149">
        <f>Tableau11[[#This Row],[VERSEMENT]]+Tableau11[[#This Row],[CHARGE]]-Tableau11[[#This Row],[T.LOGICIEL]]</f>
        <v>-74675</v>
      </c>
      <c r="H110" s="192" t="s">
        <v>298</v>
      </c>
    </row>
    <row r="111" spans="1:8" ht="18.600000000000001" thickBot="1">
      <c r="A111" s="159"/>
      <c r="B111" s="108" t="s">
        <v>176</v>
      </c>
      <c r="C111" s="152"/>
      <c r="D111" s="149"/>
      <c r="E111" s="149"/>
      <c r="F111" s="149"/>
      <c r="G111" s="149">
        <f>Tableau11[[#This Row],[VERSEMENT]]+Tableau11[[#This Row],[CHARGE]]-Tableau11[[#This Row],[T.LOGICIEL]]</f>
        <v>0</v>
      </c>
      <c r="H111" s="192"/>
    </row>
    <row r="112" spans="1:8" ht="19.2" thickTop="1" thickBot="1">
      <c r="A112" s="165"/>
      <c r="B112" s="161"/>
      <c r="C112" s="162"/>
      <c r="D112" s="163" t="s">
        <v>125</v>
      </c>
      <c r="E112" s="163">
        <f>SUBTOTAL(9,E107:E111)</f>
        <v>829242</v>
      </c>
      <c r="F112" s="163">
        <f t="shared" ref="F112:G112" si="1">SUBTOTAL(9,F107:F111)</f>
        <v>2000</v>
      </c>
      <c r="G112" s="163">
        <f t="shared" si="1"/>
        <v>-69000</v>
      </c>
      <c r="H112" s="164"/>
    </row>
    <row r="113" spans="1:8" ht="18.600000000000001" thickTop="1">
      <c r="A113" s="159">
        <v>45983</v>
      </c>
      <c r="B113" s="108" t="s">
        <v>59</v>
      </c>
      <c r="C113" s="152"/>
      <c r="D113" s="149">
        <v>234338</v>
      </c>
      <c r="E113" s="149">
        <v>233790</v>
      </c>
      <c r="F113" s="149"/>
      <c r="G113" s="149">
        <f>Tableau11[[#This Row],[VERSEMENT]]+Tableau11[[#This Row],[CHARGE]]-Tableau11[[#This Row],[T.LOGICIEL]]</f>
        <v>-548</v>
      </c>
      <c r="H113" s="200" t="s">
        <v>299</v>
      </c>
    </row>
    <row r="114" spans="1:8" ht="36">
      <c r="A114" s="159">
        <v>45983</v>
      </c>
      <c r="B114" s="108" t="s">
        <v>13</v>
      </c>
      <c r="C114" s="193">
        <v>137240</v>
      </c>
      <c r="D114" s="149">
        <v>120465</v>
      </c>
      <c r="E114" s="149">
        <v>120465</v>
      </c>
      <c r="F114" s="149"/>
      <c r="G114" s="149">
        <f>Tableau11[[#This Row],[VERSEMENT]]+Tableau11[[#This Row],[CHARGE]]-Tableau11[[#This Row],[T.LOGICIEL]]</f>
        <v>0</v>
      </c>
      <c r="H114" s="192" t="s">
        <v>300</v>
      </c>
    </row>
    <row r="115" spans="1:8" ht="18">
      <c r="A115" s="159">
        <v>45983</v>
      </c>
      <c r="B115" s="108" t="s">
        <v>30</v>
      </c>
      <c r="C115" s="193">
        <v>211815</v>
      </c>
      <c r="D115" s="149">
        <v>211815</v>
      </c>
      <c r="E115" s="149">
        <v>226300</v>
      </c>
      <c r="F115" s="149"/>
      <c r="G115" s="149">
        <f>Tableau11[[#This Row],[VERSEMENT]]+Tableau11[[#This Row],[CHARGE]]-Tableau11[[#This Row],[T.LOGICIEL]]</f>
        <v>14485</v>
      </c>
      <c r="H115" s="192" t="s">
        <v>301</v>
      </c>
    </row>
    <row r="116" spans="1:8" ht="18">
      <c r="A116" s="159">
        <v>45983</v>
      </c>
      <c r="B116" s="108" t="s">
        <v>11</v>
      </c>
      <c r="C116" s="193">
        <v>132662</v>
      </c>
      <c r="D116" s="149">
        <v>132662</v>
      </c>
      <c r="E116" s="149">
        <v>132630</v>
      </c>
      <c r="F116" s="149"/>
      <c r="G116" s="149">
        <f>Tableau11[[#This Row],[VERSEMENT]]+Tableau11[[#This Row],[CHARGE]]-Tableau11[[#This Row],[T.LOGICIEL]]</f>
        <v>-32</v>
      </c>
      <c r="H116" s="192"/>
    </row>
    <row r="117" spans="1:8" ht="18.600000000000001" thickBot="1">
      <c r="A117" s="159">
        <v>45983</v>
      </c>
      <c r="B117" s="108" t="s">
        <v>176</v>
      </c>
      <c r="C117" s="193"/>
      <c r="D117" s="149"/>
      <c r="E117" s="149"/>
      <c r="F117" s="149"/>
      <c r="G117" s="149">
        <f>Tableau11[[#This Row],[VERSEMENT]]+Tableau11[[#This Row],[CHARGE]]-Tableau11[[#This Row],[T.LOGICIEL]]</f>
        <v>0</v>
      </c>
      <c r="H117" s="192"/>
    </row>
    <row r="118" spans="1:8" ht="19.2" thickTop="1" thickBot="1">
      <c r="A118" s="165"/>
      <c r="B118" s="161"/>
      <c r="C118" s="162"/>
      <c r="D118" s="163" t="s">
        <v>125</v>
      </c>
      <c r="E118" s="163">
        <f>SUBTOTAL(9,E113:E117)</f>
        <v>713185</v>
      </c>
      <c r="F118" s="163">
        <f t="shared" ref="F118:G118" si="2">SUBTOTAL(9,F113:F117)</f>
        <v>0</v>
      </c>
      <c r="G118" s="163">
        <f t="shared" si="2"/>
        <v>13905</v>
      </c>
      <c r="H118" s="164"/>
    </row>
    <row r="119" spans="1:8" ht="18.600000000000001" thickTop="1">
      <c r="A119" s="159">
        <v>45984</v>
      </c>
      <c r="B119" s="108" t="s">
        <v>59</v>
      </c>
      <c r="C119" s="152"/>
      <c r="D119" s="149">
        <v>150035</v>
      </c>
      <c r="E119" s="149">
        <v>150585</v>
      </c>
      <c r="F119" s="149"/>
      <c r="G119" s="149">
        <f>Tableau11[[#This Row],[VERSEMENT]]+Tableau11[[#This Row],[CHARGE]]-Tableau11[[#This Row],[T.LOGICIEL]]</f>
        <v>550</v>
      </c>
      <c r="H119" s="200" t="s">
        <v>302</v>
      </c>
    </row>
    <row r="120" spans="1:8" ht="36">
      <c r="A120" s="159">
        <v>45984</v>
      </c>
      <c r="B120" s="108" t="s">
        <v>13</v>
      </c>
      <c r="C120" s="193">
        <v>160995</v>
      </c>
      <c r="D120" s="149">
        <v>153140</v>
      </c>
      <c r="E120" s="149">
        <v>153125</v>
      </c>
      <c r="F120" s="149"/>
      <c r="G120" s="149">
        <f>Tableau11[[#This Row],[VERSEMENT]]+Tableau11[[#This Row],[CHARGE]]-Tableau11[[#This Row],[T.LOGICIEL]]</f>
        <v>-15</v>
      </c>
      <c r="H120" s="192" t="s">
        <v>303</v>
      </c>
    </row>
    <row r="121" spans="1:8" ht="18">
      <c r="A121" s="159">
        <v>45984</v>
      </c>
      <c r="B121" s="108" t="s">
        <v>30</v>
      </c>
      <c r="C121" s="193">
        <v>50582</v>
      </c>
      <c r="D121" s="149">
        <v>50582</v>
      </c>
      <c r="E121" s="149">
        <v>50580</v>
      </c>
      <c r="F121" s="149"/>
      <c r="G121" s="149">
        <f>Tableau11[[#This Row],[VERSEMENT]]+Tableau11[[#This Row],[CHARGE]]-Tableau11[[#This Row],[T.LOGICIEL]]</f>
        <v>-2</v>
      </c>
      <c r="H121" s="192" t="s">
        <v>304</v>
      </c>
    </row>
    <row r="122" spans="1:8" ht="18">
      <c r="A122" s="159">
        <v>45984</v>
      </c>
      <c r="B122" s="108" t="s">
        <v>11</v>
      </c>
      <c r="C122" s="193">
        <v>149671</v>
      </c>
      <c r="D122" s="149">
        <v>149671</v>
      </c>
      <c r="E122" s="149">
        <v>149645</v>
      </c>
      <c r="F122" s="149"/>
      <c r="G122" s="149">
        <f>Tableau11[[#This Row],[VERSEMENT]]+Tableau11[[#This Row],[CHARGE]]-Tableau11[[#This Row],[T.LOGICIEL]]</f>
        <v>-26</v>
      </c>
      <c r="H122" s="191"/>
    </row>
    <row r="123" spans="1:8" ht="18.600000000000001" thickBot="1">
      <c r="A123" s="159">
        <v>45984</v>
      </c>
      <c r="B123" s="108" t="s">
        <v>176</v>
      </c>
      <c r="C123" s="152"/>
      <c r="D123" s="149"/>
      <c r="E123" s="149">
        <v>74665</v>
      </c>
      <c r="F123" s="149"/>
      <c r="G123" s="149"/>
      <c r="H123" s="191" t="s">
        <v>305</v>
      </c>
    </row>
    <row r="124" spans="1:8" ht="19.2" thickTop="1" thickBot="1">
      <c r="A124" s="165"/>
      <c r="B124" s="161"/>
      <c r="C124" s="162"/>
      <c r="D124" s="163" t="s">
        <v>125</v>
      </c>
      <c r="E124" s="163">
        <f>SUBTOTAL(9,E119:E123)</f>
        <v>578600</v>
      </c>
      <c r="F124" s="163">
        <f t="shared" ref="F124:G124" si="3">SUBTOTAL(9,F119:F123)</f>
        <v>0</v>
      </c>
      <c r="G124" s="163">
        <f t="shared" si="3"/>
        <v>507</v>
      </c>
      <c r="H124" s="164"/>
    </row>
    <row r="125" spans="1:8" ht="18.600000000000001" thickTop="1">
      <c r="A125" s="159">
        <v>45985</v>
      </c>
      <c r="B125" s="108" t="s">
        <v>59</v>
      </c>
      <c r="C125" s="152"/>
      <c r="D125" s="149">
        <v>200061</v>
      </c>
      <c r="E125" s="149">
        <v>200060</v>
      </c>
      <c r="F125" s="149"/>
      <c r="G125" s="149">
        <f>Tableau11[[#This Row],[VERSEMENT]]+Tableau11[[#This Row],[CHARGE]]-Tableau11[[#This Row],[T.LOGICIEL]]</f>
        <v>-1</v>
      </c>
      <c r="H125" s="153"/>
    </row>
    <row r="126" spans="1:8" ht="18">
      <c r="A126" s="159">
        <v>45985</v>
      </c>
      <c r="B126" s="108" t="s">
        <v>13</v>
      </c>
      <c r="C126" s="193">
        <v>120321</v>
      </c>
      <c r="D126" s="149">
        <v>120321</v>
      </c>
      <c r="E126" s="149">
        <v>120321</v>
      </c>
      <c r="F126" s="149"/>
      <c r="G126" s="149">
        <f>Tableau11[[#This Row],[VERSEMENT]]+Tableau11[[#This Row],[CHARGE]]-Tableau11[[#This Row],[T.LOGICIEL]]</f>
        <v>0</v>
      </c>
      <c r="H126" s="153"/>
    </row>
    <row r="127" spans="1:8" ht="36">
      <c r="A127" s="159">
        <v>45985</v>
      </c>
      <c r="B127" s="108" t="s">
        <v>30</v>
      </c>
      <c r="C127" s="193">
        <v>125100</v>
      </c>
      <c r="D127" s="149">
        <v>124695</v>
      </c>
      <c r="E127" s="149">
        <f>124695-27086-9</f>
        <v>97600</v>
      </c>
      <c r="F127" s="149"/>
      <c r="G127" s="149">
        <f>Tableau11[[#This Row],[VERSEMENT]]+Tableau11[[#This Row],[CHARGE]]-Tableau11[[#This Row],[T.LOGICIEL]]</f>
        <v>-27095</v>
      </c>
      <c r="H127" s="192" t="s">
        <v>306</v>
      </c>
    </row>
    <row r="128" spans="1:8" ht="54">
      <c r="A128" s="159">
        <v>45985</v>
      </c>
      <c r="B128" s="108" t="s">
        <v>11</v>
      </c>
      <c r="C128" s="193">
        <v>55253</v>
      </c>
      <c r="D128" s="149">
        <v>53528</v>
      </c>
      <c r="E128" s="149">
        <v>51540</v>
      </c>
      <c r="F128" s="149">
        <v>1000</v>
      </c>
      <c r="G128" s="149">
        <f>Tableau11[[#This Row],[VERSEMENT]]+Tableau11[[#This Row],[CHARGE]]-Tableau11[[#This Row],[T.LOGICIEL]]</f>
        <v>-988</v>
      </c>
      <c r="H128" s="192" t="s">
        <v>307</v>
      </c>
    </row>
    <row r="129" spans="1:8" ht="54.6" thickBot="1">
      <c r="A129" s="159">
        <v>45985</v>
      </c>
      <c r="B129" s="108" t="s">
        <v>176</v>
      </c>
      <c r="C129" s="152"/>
      <c r="D129" s="149"/>
      <c r="E129" s="149">
        <f>-1500</f>
        <v>-1500</v>
      </c>
      <c r="F129" s="149">
        <v>1500</v>
      </c>
      <c r="G129" s="149">
        <f>Tableau11[[#This Row],[VERSEMENT]]+Tableau11[[#This Row],[CHARGE]]-Tableau11[[#This Row],[T.LOGICIEL]]</f>
        <v>0</v>
      </c>
      <c r="H129" s="192" t="s">
        <v>308</v>
      </c>
    </row>
    <row r="130" spans="1:8" ht="19.2" thickTop="1" thickBot="1">
      <c r="A130" s="165"/>
      <c r="B130" s="161"/>
      <c r="C130" s="162"/>
      <c r="D130" s="163" t="s">
        <v>125</v>
      </c>
      <c r="E130" s="163">
        <f>SUBTOTAL(9,E125:E129)</f>
        <v>468021</v>
      </c>
      <c r="F130" s="163">
        <f t="shared" ref="F130:G130" si="4">SUBTOTAL(9,F125:F129)</f>
        <v>2500</v>
      </c>
      <c r="G130" s="163">
        <f t="shared" si="4"/>
        <v>-28084</v>
      </c>
      <c r="H130" s="164"/>
    </row>
    <row r="131" spans="1:8" ht="18.600000000000001" thickTop="1">
      <c r="A131" s="159">
        <v>45986</v>
      </c>
      <c r="B131" s="108" t="s">
        <v>59</v>
      </c>
      <c r="C131" s="152"/>
      <c r="D131" s="149">
        <v>180627</v>
      </c>
      <c r="E131" s="149">
        <v>180625</v>
      </c>
      <c r="F131" s="149"/>
      <c r="G131" s="149">
        <f>Tableau11[[#This Row],[VERSEMENT]]+Tableau11[[#This Row],[CHARGE]]-Tableau11[[#This Row],[T.LOGICIEL]]</f>
        <v>-2</v>
      </c>
      <c r="H131" s="153"/>
    </row>
    <row r="132" spans="1:8" ht="54">
      <c r="A132" s="159">
        <v>45986</v>
      </c>
      <c r="B132" s="108" t="s">
        <v>13</v>
      </c>
      <c r="C132" s="193">
        <v>134977</v>
      </c>
      <c r="D132" s="149">
        <v>133513</v>
      </c>
      <c r="E132" s="149">
        <v>133110</v>
      </c>
      <c r="F132" s="149"/>
      <c r="G132" s="149">
        <f>Tableau11[[#This Row],[VERSEMENT]]+Tableau11[[#This Row],[CHARGE]]-Tableau11[[#This Row],[T.LOGICIEL]]</f>
        <v>-403</v>
      </c>
      <c r="H132" s="192" t="s">
        <v>309</v>
      </c>
    </row>
    <row r="133" spans="1:8" ht="36">
      <c r="A133" s="159">
        <v>45986</v>
      </c>
      <c r="B133" s="108" t="s">
        <v>30</v>
      </c>
      <c r="C133" s="193">
        <f>165222-40</f>
        <v>165182</v>
      </c>
      <c r="D133" s="149">
        <v>160292</v>
      </c>
      <c r="E133" s="149">
        <v>159240</v>
      </c>
      <c r="F133" s="149"/>
      <c r="G133" s="149">
        <f>Tableau11[[#This Row],[VERSEMENT]]+Tableau11[[#This Row],[CHARGE]]-Tableau11[[#This Row],[T.LOGICIEL]]</f>
        <v>-1052</v>
      </c>
      <c r="H133" s="192" t="s">
        <v>310</v>
      </c>
    </row>
    <row r="134" spans="1:8" ht="18">
      <c r="A134" s="159">
        <v>45986</v>
      </c>
      <c r="B134" s="108" t="s">
        <v>11</v>
      </c>
      <c r="C134" s="193">
        <v>96151</v>
      </c>
      <c r="D134" s="149">
        <v>96151</v>
      </c>
      <c r="E134" s="149">
        <v>96050</v>
      </c>
      <c r="F134" s="149"/>
      <c r="G134" s="149">
        <f>Tableau11[[#This Row],[VERSEMENT]]+Tableau11[[#This Row],[CHARGE]]-Tableau11[[#This Row],[T.LOGICIEL]]</f>
        <v>-101</v>
      </c>
      <c r="H134" s="192" t="s">
        <v>311</v>
      </c>
    </row>
    <row r="135" spans="1:8" ht="36.6" thickBot="1">
      <c r="A135" s="159">
        <v>45986</v>
      </c>
      <c r="B135" s="108" t="s">
        <v>176</v>
      </c>
      <c r="C135" s="152"/>
      <c r="D135" s="149"/>
      <c r="E135" s="149">
        <f>-(2000+30000)</f>
        <v>-32000</v>
      </c>
      <c r="F135" s="149">
        <v>30000</v>
      </c>
      <c r="G135" s="149"/>
      <c r="H135" s="192" t="s">
        <v>312</v>
      </c>
    </row>
    <row r="136" spans="1:8" ht="19.2" thickTop="1" thickBot="1">
      <c r="A136" s="165"/>
      <c r="B136" s="161"/>
      <c r="C136" s="162"/>
      <c r="D136" s="163" t="s">
        <v>125</v>
      </c>
      <c r="E136" s="163">
        <f>SUBTOTAL(9,E131:E135)</f>
        <v>537025</v>
      </c>
      <c r="F136" s="163">
        <f t="shared" ref="F136:G136" si="5">SUBTOTAL(9,F131:F135)</f>
        <v>30000</v>
      </c>
      <c r="G136" s="163">
        <f t="shared" si="5"/>
        <v>-1558</v>
      </c>
      <c r="H136" s="164"/>
    </row>
    <row r="137" spans="1:8" ht="18.600000000000001" thickTop="1">
      <c r="A137" s="159">
        <v>45987</v>
      </c>
      <c r="B137" s="108" t="s">
        <v>59</v>
      </c>
      <c r="C137" s="152"/>
      <c r="D137" s="149">
        <v>197108</v>
      </c>
      <c r="E137" s="149">
        <v>197125</v>
      </c>
      <c r="F137" s="149"/>
      <c r="G137" s="149">
        <f>Tableau11[[#This Row],[VERSEMENT]]+Tableau11[[#This Row],[CHARGE]]-Tableau11[[#This Row],[T.LOGICIEL]]</f>
        <v>17</v>
      </c>
      <c r="H137" s="153"/>
    </row>
    <row r="138" spans="1:8" ht="54">
      <c r="A138" s="159">
        <v>45987</v>
      </c>
      <c r="B138" s="108" t="s">
        <v>13</v>
      </c>
      <c r="C138" s="193">
        <v>123557</v>
      </c>
      <c r="D138" s="149">
        <f>114957</f>
        <v>114957</v>
      </c>
      <c r="E138" s="149">
        <f>114957-(145*2)-1100</f>
        <v>113567</v>
      </c>
      <c r="F138" s="149">
        <v>1100</v>
      </c>
      <c r="G138" s="149">
        <f>Tableau11[[#This Row],[VERSEMENT]]+Tableau11[[#This Row],[CHARGE]]-Tableau11[[#This Row],[T.LOGICIEL]]</f>
        <v>-290</v>
      </c>
      <c r="H138" s="192" t="s">
        <v>313</v>
      </c>
    </row>
    <row r="139" spans="1:8" ht="18">
      <c r="A139" s="159">
        <v>45987</v>
      </c>
      <c r="B139" s="108" t="s">
        <v>30</v>
      </c>
      <c r="C139" s="193">
        <f>211340-119625-90</f>
        <v>91625</v>
      </c>
      <c r="D139" s="149">
        <f>89795-90</f>
        <v>89705</v>
      </c>
      <c r="E139" s="149">
        <f>89705-10</f>
        <v>89695</v>
      </c>
      <c r="F139" s="149"/>
      <c r="G139" s="149">
        <f>Tableau11[[#This Row],[VERSEMENT]]+Tableau11[[#This Row],[CHARGE]]-Tableau11[[#This Row],[T.LOGICIEL]]</f>
        <v>-10</v>
      </c>
      <c r="H139" s="192" t="s">
        <v>314</v>
      </c>
    </row>
    <row r="140" spans="1:8" ht="18">
      <c r="A140" s="159">
        <v>45987</v>
      </c>
      <c r="B140" s="108" t="s">
        <v>11</v>
      </c>
      <c r="C140" s="193">
        <v>91586</v>
      </c>
      <c r="D140" s="149">
        <v>91586</v>
      </c>
      <c r="E140" s="149">
        <v>90525</v>
      </c>
      <c r="F140" s="149">
        <v>1000</v>
      </c>
      <c r="G140" s="149">
        <f>Tableau11[[#This Row],[VERSEMENT]]+Tableau11[[#This Row],[CHARGE]]-Tableau11[[#This Row],[T.LOGICIEL]]</f>
        <v>-61</v>
      </c>
      <c r="H140" s="192" t="s">
        <v>315</v>
      </c>
    </row>
    <row r="141" spans="1:8" ht="36.6" thickBot="1">
      <c r="A141" s="159">
        <v>45987</v>
      </c>
      <c r="B141" s="108" t="s">
        <v>176</v>
      </c>
      <c r="C141" s="152"/>
      <c r="D141" s="149"/>
      <c r="E141" s="149">
        <f>15780+145</f>
        <v>15925</v>
      </c>
      <c r="F141" s="149"/>
      <c r="G141" s="149"/>
      <c r="H141" s="192" t="s">
        <v>316</v>
      </c>
    </row>
    <row r="142" spans="1:8" ht="19.2" thickTop="1" thickBot="1">
      <c r="A142" s="165"/>
      <c r="B142" s="161"/>
      <c r="C142" s="162"/>
      <c r="D142" s="163" t="s">
        <v>125</v>
      </c>
      <c r="E142" s="163">
        <f>SUBTOTAL(9,E137:E141)</f>
        <v>506837</v>
      </c>
      <c r="F142" s="163">
        <f t="shared" ref="F142:G142" si="6">SUBTOTAL(9,F137:F141)</f>
        <v>2100</v>
      </c>
      <c r="G142" s="163">
        <f t="shared" si="6"/>
        <v>-344</v>
      </c>
      <c r="H142" s="164"/>
    </row>
    <row r="143" spans="1:8" ht="18.600000000000001" thickTop="1">
      <c r="A143" s="195">
        <v>45988</v>
      </c>
      <c r="B143" s="108" t="s">
        <v>59</v>
      </c>
      <c r="C143" s="152"/>
      <c r="D143" s="149">
        <v>135453</v>
      </c>
      <c r="E143" s="149">
        <f>135000-5500-300</f>
        <v>129200</v>
      </c>
      <c r="F143" s="149"/>
      <c r="G143" s="149">
        <f>Tableau11[[#This Row],[VERSEMENT]]+Tableau11[[#This Row],[CHARGE]]-Tableau11[[#This Row],[T.LOGICIEL]]</f>
        <v>-6253</v>
      </c>
      <c r="H143" s="199" t="s">
        <v>317</v>
      </c>
    </row>
    <row r="144" spans="1:8" ht="72">
      <c r="A144" s="195">
        <v>45988</v>
      </c>
      <c r="B144" s="108" t="s">
        <v>13</v>
      </c>
      <c r="C144" s="152">
        <v>181752</v>
      </c>
      <c r="D144" s="149">
        <v>179602</v>
      </c>
      <c r="E144" s="149">
        <f>179602-145-1000-1300</f>
        <v>177157</v>
      </c>
      <c r="F144" s="149">
        <v>1000</v>
      </c>
      <c r="G144" s="149">
        <f>Tableau11[[#This Row],[VERSEMENT]]+Tableau11[[#This Row],[CHARGE]]-Tableau11[[#This Row],[T.LOGICIEL]]</f>
        <v>-1445</v>
      </c>
      <c r="H144" s="192" t="s">
        <v>318</v>
      </c>
    </row>
    <row r="145" spans="1:8" ht="18">
      <c r="A145" s="195">
        <v>45988</v>
      </c>
      <c r="B145" s="108" t="s">
        <v>30</v>
      </c>
      <c r="C145" s="152">
        <v>287185</v>
      </c>
      <c r="D145" s="149">
        <v>285385</v>
      </c>
      <c r="E145" s="149">
        <f>319435-34050</f>
        <v>285385</v>
      </c>
      <c r="F145" s="149"/>
      <c r="G145" s="149">
        <f>Tableau11[[#This Row],[VERSEMENT]]+Tableau11[[#This Row],[CHARGE]]-Tableau11[[#This Row],[T.LOGICIEL]]</f>
        <v>0</v>
      </c>
      <c r="H145" s="192" t="s">
        <v>319</v>
      </c>
    </row>
    <row r="146" spans="1:8" ht="18">
      <c r="A146" s="195">
        <v>45988</v>
      </c>
      <c r="B146" s="108" t="s">
        <v>11</v>
      </c>
      <c r="C146" s="152">
        <v>249655</v>
      </c>
      <c r="D146" s="149">
        <v>245655</v>
      </c>
      <c r="E146" s="149">
        <v>245625</v>
      </c>
      <c r="F146" s="149"/>
      <c r="G146" s="149">
        <f>Tableau11[[#This Row],[VERSEMENT]]+Tableau11[[#This Row],[CHARGE]]-Tableau11[[#This Row],[T.LOGICIEL]]</f>
        <v>-30</v>
      </c>
      <c r="H146" s="192"/>
    </row>
    <row r="147" spans="1:8" ht="90.6" thickBot="1">
      <c r="A147" s="195">
        <v>45988</v>
      </c>
      <c r="B147" s="108" t="s">
        <v>176</v>
      </c>
      <c r="C147" s="152"/>
      <c r="D147" s="149"/>
      <c r="E147" s="149">
        <f>25350+8705-2000+5000-20000</f>
        <v>17055</v>
      </c>
      <c r="F147" s="149"/>
      <c r="G147" s="149"/>
      <c r="H147" s="192" t="s">
        <v>320</v>
      </c>
    </row>
    <row r="148" spans="1:8" ht="19.2" thickTop="1" thickBot="1">
      <c r="A148" s="165"/>
      <c r="B148" s="161"/>
      <c r="C148" s="162"/>
      <c r="D148" s="163" t="s">
        <v>125</v>
      </c>
      <c r="E148" s="163">
        <f>SUBTOTAL(9,E143:E147)</f>
        <v>854422</v>
      </c>
      <c r="F148" s="163">
        <f t="shared" ref="F148:G148" si="7">SUBTOTAL(9,F143:F147)</f>
        <v>1000</v>
      </c>
      <c r="G148" s="163">
        <f t="shared" si="7"/>
        <v>-7728</v>
      </c>
      <c r="H148" s="164"/>
    </row>
    <row r="149" spans="1:8" ht="18.600000000000001" thickTop="1">
      <c r="A149" s="159">
        <v>45990</v>
      </c>
      <c r="B149" s="108" t="s">
        <v>59</v>
      </c>
      <c r="C149" s="152"/>
      <c r="D149" s="149">
        <f>187799-387</f>
        <v>187412</v>
      </c>
      <c r="E149" s="149">
        <f>187350</f>
        <v>187350</v>
      </c>
      <c r="F149" s="149"/>
      <c r="G149" s="149">
        <f>Tableau11[[#This Row],[VERSEMENT]]+Tableau11[[#This Row],[CHARGE]]-Tableau11[[#This Row],[T.LOGICIEL]]</f>
        <v>-62</v>
      </c>
      <c r="H149" s="206"/>
    </row>
    <row r="150" spans="1:8" ht="18">
      <c r="A150" s="159">
        <v>45990</v>
      </c>
      <c r="B150" s="108" t="s">
        <v>13</v>
      </c>
      <c r="C150" s="152">
        <v>125784</v>
      </c>
      <c r="D150" s="149">
        <v>106259</v>
      </c>
      <c r="E150" s="149">
        <v>106255</v>
      </c>
      <c r="F150" s="149"/>
      <c r="G150" s="149">
        <f>Tableau11[[#This Row],[VERSEMENT]]+Tableau11[[#This Row],[CHARGE]]-Tableau11[[#This Row],[T.LOGICIEL]]</f>
        <v>-4</v>
      </c>
      <c r="H150" s="192" t="s">
        <v>321</v>
      </c>
    </row>
    <row r="151" spans="1:8" ht="18">
      <c r="A151" s="159">
        <v>45990</v>
      </c>
      <c r="B151" s="108" t="s">
        <v>30</v>
      </c>
      <c r="C151" s="152">
        <v>162203</v>
      </c>
      <c r="D151" s="149">
        <f>162203+43000</f>
        <v>205203</v>
      </c>
      <c r="E151" s="149">
        <f>165715-4325+43000</f>
        <v>204390</v>
      </c>
      <c r="F151" s="149">
        <v>800</v>
      </c>
      <c r="G151" s="149">
        <f>Tableau11[[#This Row],[VERSEMENT]]+Tableau11[[#This Row],[CHARGE]]-Tableau11[[#This Row],[T.LOGICIEL]]</f>
        <v>-13</v>
      </c>
      <c r="H151" s="192" t="s">
        <v>322</v>
      </c>
    </row>
    <row r="152" spans="1:8" ht="18">
      <c r="A152" s="159">
        <v>45990</v>
      </c>
      <c r="B152" s="108" t="s">
        <v>11</v>
      </c>
      <c r="C152" s="152">
        <v>93746</v>
      </c>
      <c r="D152" s="149">
        <v>93746</v>
      </c>
      <c r="E152" s="149">
        <v>93745</v>
      </c>
      <c r="F152" s="149"/>
      <c r="G152" s="149">
        <f>Tableau11[[#This Row],[VERSEMENT]]+Tableau11[[#This Row],[CHARGE]]-Tableau11[[#This Row],[T.LOGICIEL]]</f>
        <v>-1</v>
      </c>
      <c r="H152" s="192"/>
    </row>
    <row r="153" spans="1:8" ht="36.6" thickBot="1">
      <c r="A153" s="159">
        <v>45990</v>
      </c>
      <c r="B153" s="108" t="s">
        <v>176</v>
      </c>
      <c r="C153" s="152"/>
      <c r="D153" s="149"/>
      <c r="E153" s="149">
        <f>4325</f>
        <v>4325</v>
      </c>
      <c r="F153" s="149"/>
      <c r="G153" s="149">
        <f>Tableau11[[#This Row],[VERSEMENT]]+Tableau11[[#This Row],[CHARGE]]-Tableau11[[#This Row],[T.LOGICIEL]]</f>
        <v>4325</v>
      </c>
      <c r="H153" s="192" t="s">
        <v>323</v>
      </c>
    </row>
    <row r="154" spans="1:8" ht="19.2" thickTop="1" thickBot="1">
      <c r="A154" s="165"/>
      <c r="B154" s="161"/>
      <c r="C154" s="162"/>
      <c r="D154" s="163" t="s">
        <v>125</v>
      </c>
      <c r="E154" s="163">
        <f>SUBTOTAL(9,E149:E153)</f>
        <v>596065</v>
      </c>
      <c r="F154" s="163">
        <f t="shared" ref="F154:G154" si="8">SUBTOTAL(9,F149:F153)</f>
        <v>800</v>
      </c>
      <c r="G154" s="163">
        <f t="shared" si="8"/>
        <v>4245</v>
      </c>
      <c r="H154" s="164"/>
    </row>
    <row r="155" spans="1:8" ht="18.600000000000001" thickTop="1">
      <c r="A155" s="159">
        <v>45991</v>
      </c>
      <c r="B155" s="108" t="s">
        <v>59</v>
      </c>
      <c r="C155" s="152"/>
      <c r="D155" s="149">
        <v>161637</v>
      </c>
      <c r="E155" s="149">
        <v>161630</v>
      </c>
      <c r="F155" s="149"/>
      <c r="G155" s="149">
        <f>Tableau11[[#This Row],[VERSEMENT]]+Tableau11[[#This Row],[CHARGE]]-Tableau11[[#This Row],[T.LOGICIEL]]</f>
        <v>-7</v>
      </c>
      <c r="H155" s="153"/>
    </row>
    <row r="156" spans="1:8" ht="18">
      <c r="A156" s="159">
        <v>45991</v>
      </c>
      <c r="B156" s="108" t="s">
        <v>13</v>
      </c>
      <c r="C156" s="152">
        <f>108219-85</f>
        <v>108134</v>
      </c>
      <c r="D156" s="149">
        <v>108134</v>
      </c>
      <c r="E156" s="149">
        <v>108120</v>
      </c>
      <c r="F156" s="149"/>
      <c r="G156" s="149">
        <f>Tableau11[[#This Row],[VERSEMENT]]+Tableau11[[#This Row],[CHARGE]]-Tableau11[[#This Row],[T.LOGICIEL]]</f>
        <v>-14</v>
      </c>
      <c r="H156" s="153"/>
    </row>
    <row r="157" spans="1:8" ht="18">
      <c r="A157" s="159">
        <v>45991</v>
      </c>
      <c r="B157" s="108" t="s">
        <v>30</v>
      </c>
      <c r="C157" s="152">
        <f>30156+16580+29799</f>
        <v>76535</v>
      </c>
      <c r="D157" s="149">
        <v>76535</v>
      </c>
      <c r="E157" s="149">
        <v>76530</v>
      </c>
      <c r="F157" s="149"/>
      <c r="G157" s="149">
        <f>Tableau11[[#This Row],[VERSEMENT]]+Tableau11[[#This Row],[CHARGE]]-Tableau11[[#This Row],[T.LOGICIEL]]</f>
        <v>-5</v>
      </c>
      <c r="H157" s="153"/>
    </row>
    <row r="158" spans="1:8" s="207" customFormat="1" ht="54">
      <c r="A158" s="159">
        <v>45991</v>
      </c>
      <c r="B158" s="108" t="s">
        <v>11</v>
      </c>
      <c r="C158" s="152">
        <f>337785-122600-450</f>
        <v>214735</v>
      </c>
      <c r="D158" s="149">
        <v>192550</v>
      </c>
      <c r="E158" s="149">
        <v>191700</v>
      </c>
      <c r="F158" s="149">
        <v>1850</v>
      </c>
      <c r="G158" s="149">
        <f>Tableau11[[#This Row],[VERSEMENT]]+Tableau11[[#This Row],[CHARGE]]-Tableau11[[#This Row],[T.LOGICIEL]]</f>
        <v>1000</v>
      </c>
      <c r="H158" s="192" t="s">
        <v>324</v>
      </c>
    </row>
    <row r="159" spans="1:8" ht="18.600000000000001" thickBot="1">
      <c r="A159" s="159">
        <v>45991</v>
      </c>
      <c r="B159" s="108" t="s">
        <v>176</v>
      </c>
      <c r="C159" s="152"/>
      <c r="D159" s="149"/>
      <c r="E159" s="149"/>
      <c r="F159" s="149"/>
      <c r="G159" s="149"/>
      <c r="H159" s="153"/>
    </row>
    <row r="160" spans="1:8" ht="19.2" thickTop="1" thickBot="1">
      <c r="A160" s="165"/>
      <c r="B160" s="161"/>
      <c r="C160" s="162"/>
      <c r="D160" s="163" t="s">
        <v>125</v>
      </c>
      <c r="E160" s="163">
        <f>SUBTOTAL(9,E155:E159)</f>
        <v>537980</v>
      </c>
      <c r="F160" s="163">
        <f t="shared" ref="F160:G160" si="9">SUBTOTAL(9,F155:F159)</f>
        <v>1850</v>
      </c>
      <c r="G160" s="163">
        <f t="shared" si="9"/>
        <v>974</v>
      </c>
      <c r="H160" s="164"/>
    </row>
    <row r="161" spans="1:8" ht="21.6" thickTop="1">
      <c r="A161" s="184" t="s">
        <v>9</v>
      </c>
      <c r="B161" s="185"/>
      <c r="C161" s="186"/>
      <c r="D161" s="186"/>
      <c r="E161" s="186">
        <f>SUBTOTAL(109,Tableau11[VERSEMENT])</f>
        <v>17516750</v>
      </c>
      <c r="F161" s="186">
        <f>SUBTOTAL(109,Tableau11[CHARGE])</f>
        <v>140460</v>
      </c>
      <c r="G161" s="186">
        <f>SUBTOTAL(109,Tableau11[DIFF])</f>
        <v>-167629</v>
      </c>
      <c r="H161" s="187">
        <f>SUBTOTAL(103,Tableau11[OBSERVATION])</f>
        <v>102</v>
      </c>
    </row>
    <row r="162" spans="1:8">
      <c r="A162" s="207"/>
      <c r="B162" s="207"/>
      <c r="C162" s="207"/>
      <c r="D162" s="207"/>
      <c r="E162" s="207"/>
      <c r="F162" s="151"/>
      <c r="G162" s="151"/>
      <c r="H162" s="151"/>
    </row>
    <row r="163" spans="1:8">
      <c r="A163" s="207"/>
      <c r="B163" s="207"/>
      <c r="C163" s="207"/>
      <c r="D163" s="207"/>
      <c r="E163" s="207"/>
      <c r="F163" s="207"/>
      <c r="G163" s="207"/>
      <c r="H163" s="207"/>
    </row>
    <row r="164" spans="1:8">
      <c r="A164" s="207"/>
      <c r="B164" s="207"/>
      <c r="C164" s="207"/>
      <c r="D164" s="207"/>
      <c r="E164" s="207"/>
      <c r="F164" s="207"/>
      <c r="G164" s="207"/>
      <c r="H164" s="207"/>
    </row>
    <row r="165" spans="1:8">
      <c r="A165" s="207"/>
      <c r="B165" s="207"/>
      <c r="C165" s="207"/>
      <c r="D165" s="207"/>
      <c r="E165" s="207"/>
      <c r="F165" s="207"/>
      <c r="G165" s="207"/>
      <c r="H165" s="207"/>
    </row>
    <row r="167" spans="1:8">
      <c r="A167" s="207"/>
      <c r="B167" s="207"/>
      <c r="C167" s="207"/>
      <c r="D167" s="207"/>
      <c r="E167" s="207"/>
      <c r="F167" s="207"/>
      <c r="G167" s="207">
        <f>5800+2070-2500</f>
        <v>5370</v>
      </c>
      <c r="H167" s="207"/>
    </row>
  </sheetData>
  <mergeCells count="1">
    <mergeCell ref="G2:H2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H250"/>
  <sheetViews>
    <sheetView tabSelected="1" topLeftCell="A232" workbookViewId="0">
      <selection activeCell="H239" sqref="H239"/>
    </sheetView>
  </sheetViews>
  <sheetFormatPr baseColWidth="10" defaultColWidth="11.3984375" defaultRowHeight="13.8"/>
  <cols>
    <col min="1" max="1" width="22.09765625" bestFit="1" customWidth="1"/>
    <col min="2" max="2" width="17.296875" customWidth="1"/>
    <col min="3" max="3" width="19.3984375" bestFit="1" customWidth="1"/>
    <col min="4" max="4" width="18.09765625" bestFit="1" customWidth="1"/>
    <col min="5" max="5" width="17.69921875" customWidth="1"/>
    <col min="6" max="6" width="16.59765625" bestFit="1" customWidth="1"/>
    <col min="7" max="7" width="19" bestFit="1" customWidth="1"/>
    <col min="8" max="8" width="53.59765625" customWidth="1"/>
  </cols>
  <sheetData>
    <row r="1" spans="1:8" ht="15.6">
      <c r="A1" s="208" t="s">
        <v>111</v>
      </c>
      <c r="B1" s="208" t="s">
        <v>113</v>
      </c>
      <c r="C1" s="208" t="s">
        <v>114</v>
      </c>
      <c r="D1" s="208" t="s">
        <v>115</v>
      </c>
      <c r="E1" s="208" t="s">
        <v>116</v>
      </c>
      <c r="F1" s="208" t="s">
        <v>117</v>
      </c>
      <c r="G1" s="208" t="s">
        <v>222</v>
      </c>
      <c r="H1" s="208" t="s">
        <v>119</v>
      </c>
    </row>
    <row r="2" spans="1:8" ht="28.2" customHeight="1">
      <c r="A2" s="234">
        <v>45992</v>
      </c>
      <c r="B2" s="208" t="s">
        <v>59</v>
      </c>
      <c r="C2" s="210"/>
      <c r="D2" s="211">
        <v>184577</v>
      </c>
      <c r="E2" s="211">
        <f>184570</f>
        <v>184570</v>
      </c>
      <c r="F2" s="211"/>
      <c r="G2" s="211">
        <f>Tableau12[[#This Row],[CHARGE]]+Tableau12[[#This Row],[VERSEMENT]]-Tableau12[[#This Row],[T.LOGICIEL]]</f>
        <v>-7</v>
      </c>
      <c r="H2" s="217"/>
    </row>
    <row r="3" spans="1:8" ht="39.6" customHeight="1">
      <c r="A3" s="234">
        <v>45992</v>
      </c>
      <c r="B3" s="208" t="s">
        <v>325</v>
      </c>
      <c r="C3" s="210">
        <f>153560-22440+2025</f>
        <v>133145</v>
      </c>
      <c r="D3" s="211">
        <v>132660</v>
      </c>
      <c r="E3" s="211">
        <f>132660-145</f>
        <v>132515</v>
      </c>
      <c r="F3" s="211"/>
      <c r="G3" s="211">
        <f>Tableau12[[#This Row],[CHARGE]]+Tableau12[[#This Row],[VERSEMENT]]-Tableau12[[#This Row],[T.LOGICIEL]]</f>
        <v>-145</v>
      </c>
      <c r="H3" s="217" t="s">
        <v>326</v>
      </c>
    </row>
    <row r="4" spans="1:8" ht="28.2" customHeight="1">
      <c r="A4" s="234">
        <v>45992</v>
      </c>
      <c r="B4" s="208" t="s">
        <v>327</v>
      </c>
      <c r="C4" s="210">
        <v>117307</v>
      </c>
      <c r="D4" s="211">
        <f>117307-20220</f>
        <v>97087</v>
      </c>
      <c r="E4" s="211">
        <f>72475+24615</f>
        <v>97090</v>
      </c>
      <c r="F4" s="211"/>
      <c r="G4" s="211">
        <f>Tableau12[[#This Row],[CHARGE]]+Tableau12[[#This Row],[VERSEMENT]]-Tableau12[[#This Row],[T.LOGICIEL]]</f>
        <v>3</v>
      </c>
      <c r="H4" s="217" t="s">
        <v>328</v>
      </c>
    </row>
    <row r="5" spans="1:8" ht="37.950000000000003" customHeight="1">
      <c r="A5" s="234">
        <v>45992</v>
      </c>
      <c r="B5" s="208" t="s">
        <v>329</v>
      </c>
      <c r="C5" s="210">
        <f>76345+121425</f>
        <v>197770</v>
      </c>
      <c r="D5" s="211">
        <f>196654</f>
        <v>196654</v>
      </c>
      <c r="E5" s="211">
        <v>191215</v>
      </c>
      <c r="F5" s="211">
        <v>5000</v>
      </c>
      <c r="G5" s="211">
        <f>Tableau12[[#This Row],[CHARGE]]+Tableau12[[#This Row],[VERSEMENT]]-Tableau12[[#This Row],[T.LOGICIEL]]</f>
        <v>-439</v>
      </c>
      <c r="H5" s="217" t="s">
        <v>330</v>
      </c>
    </row>
    <row r="6" spans="1:8" ht="28.2" customHeight="1">
      <c r="A6" s="247">
        <v>45992</v>
      </c>
      <c r="B6" s="243" t="s">
        <v>331</v>
      </c>
      <c r="C6" s="244"/>
      <c r="D6" s="245"/>
      <c r="E6" s="245">
        <v>4000</v>
      </c>
      <c r="F6" s="245"/>
      <c r="G6" s="245"/>
      <c r="H6" s="246" t="s">
        <v>332</v>
      </c>
    </row>
    <row r="7" spans="1:8" ht="15.6">
      <c r="A7" s="234">
        <v>45992</v>
      </c>
      <c r="B7" s="208" t="s">
        <v>333</v>
      </c>
      <c r="C7" s="212"/>
      <c r="D7" s="211"/>
      <c r="E7" s="211">
        <v>0</v>
      </c>
      <c r="F7" s="211"/>
      <c r="G7" s="211"/>
      <c r="H7" s="217"/>
    </row>
    <row r="8" spans="1:8" ht="16.2" thickBot="1">
      <c r="A8" s="234">
        <v>45992</v>
      </c>
      <c r="B8" s="208" t="s">
        <v>334</v>
      </c>
      <c r="C8" s="212"/>
      <c r="D8" s="211"/>
      <c r="E8" s="211">
        <v>0</v>
      </c>
      <c r="F8" s="211"/>
      <c r="G8" s="211"/>
      <c r="H8" s="217"/>
    </row>
    <row r="9" spans="1:8" ht="16.8" thickTop="1" thickBot="1">
      <c r="A9" s="213"/>
      <c r="B9" s="271"/>
      <c r="C9" s="215"/>
      <c r="D9" s="215" t="s">
        <v>125</v>
      </c>
      <c r="E9" s="215">
        <f>SUBTOTAL(9,E2:E8)</f>
        <v>609390</v>
      </c>
      <c r="F9" s="215">
        <f>SUBTOTAL(9,F2:F8)</f>
        <v>5000</v>
      </c>
      <c r="G9" s="215">
        <f>SUBTOTAL(9,G2:G8)</f>
        <v>-588</v>
      </c>
      <c r="H9" s="216"/>
    </row>
    <row r="10" spans="1:8" ht="33.6" customHeight="1" thickTop="1">
      <c r="A10" s="234">
        <v>45993</v>
      </c>
      <c r="B10" s="208" t="s">
        <v>59</v>
      </c>
      <c r="C10" s="210"/>
      <c r="D10" s="211">
        <v>165525</v>
      </c>
      <c r="E10" s="211">
        <v>165505</v>
      </c>
      <c r="F10" s="211"/>
      <c r="G10" s="211">
        <f>Tableau12[[#This Row],[CHARGE]]+Tableau12[[#This Row],[VERSEMENT]]-Tableau12[[#This Row],[T.LOGICIEL]]</f>
        <v>-20</v>
      </c>
      <c r="H10" s="217"/>
    </row>
    <row r="11" spans="1:8" ht="33.6" customHeight="1">
      <c r="A11" s="234">
        <v>45993</v>
      </c>
      <c r="B11" s="208" t="s">
        <v>325</v>
      </c>
      <c r="C11" s="210">
        <v>77714</v>
      </c>
      <c r="D11" s="211">
        <v>72239</v>
      </c>
      <c r="E11" s="211">
        <f>72239-800</f>
        <v>71439</v>
      </c>
      <c r="F11" s="211">
        <v>800</v>
      </c>
      <c r="G11" s="211">
        <f>Tableau12[[#This Row],[CHARGE]]+Tableau12[[#This Row],[VERSEMENT]]-Tableau12[[#This Row],[T.LOGICIEL]]</f>
        <v>0</v>
      </c>
      <c r="H11" s="217" t="s">
        <v>335</v>
      </c>
    </row>
    <row r="12" spans="1:8" ht="33.6" customHeight="1">
      <c r="A12" s="234">
        <v>45993</v>
      </c>
      <c r="B12" s="208" t="s">
        <v>327</v>
      </c>
      <c r="C12" s="210">
        <f>226633+114840</f>
        <v>341473</v>
      </c>
      <c r="D12" s="211">
        <f>222398+114840</f>
        <v>337238</v>
      </c>
      <c r="E12" s="211">
        <f>222380+114800</f>
        <v>337180</v>
      </c>
      <c r="F12" s="211"/>
      <c r="G12" s="211">
        <f>Tableau12[[#This Row],[CHARGE]]+Tableau12[[#This Row],[VERSEMENT]]-Tableau12[[#This Row],[T.LOGICIEL]]</f>
        <v>-58</v>
      </c>
      <c r="H12" s="217" t="s">
        <v>336</v>
      </c>
    </row>
    <row r="13" spans="1:8" ht="33.6" customHeight="1">
      <c r="A13" s="234">
        <v>45993</v>
      </c>
      <c r="B13" s="208" t="s">
        <v>329</v>
      </c>
      <c r="C13" s="210">
        <v>93735</v>
      </c>
      <c r="D13" s="211">
        <v>93735</v>
      </c>
      <c r="E13" s="211">
        <f>93735-145</f>
        <v>93590</v>
      </c>
      <c r="F13" s="211"/>
      <c r="G13" s="211">
        <f>Tableau12[[#This Row],[CHARGE]]+Tableau12[[#This Row],[VERSEMENT]]-Tableau12[[#This Row],[T.LOGICIEL]]</f>
        <v>-145</v>
      </c>
      <c r="H13" s="217" t="s">
        <v>337</v>
      </c>
    </row>
    <row r="14" spans="1:8" ht="33.6" customHeight="1">
      <c r="A14" s="247">
        <v>45993</v>
      </c>
      <c r="B14" s="243" t="s">
        <v>331</v>
      </c>
      <c r="C14" s="244"/>
      <c r="D14" s="245"/>
      <c r="E14" s="245">
        <v>15000</v>
      </c>
      <c r="F14" s="245"/>
      <c r="G14" s="245"/>
      <c r="H14" s="246" t="s">
        <v>338</v>
      </c>
    </row>
    <row r="15" spans="1:8" ht="33.6" customHeight="1">
      <c r="A15" s="234">
        <v>45993</v>
      </c>
      <c r="B15" s="208" t="s">
        <v>333</v>
      </c>
      <c r="C15" s="212"/>
      <c r="D15" s="211"/>
      <c r="E15" s="211">
        <f>-1500</f>
        <v>-1500</v>
      </c>
      <c r="F15" s="211"/>
      <c r="G15" s="211"/>
      <c r="H15" s="217" t="s">
        <v>339</v>
      </c>
    </row>
    <row r="16" spans="1:8" ht="15.6">
      <c r="A16" s="234">
        <v>45993</v>
      </c>
      <c r="B16" s="208" t="s">
        <v>334</v>
      </c>
      <c r="C16" s="212"/>
      <c r="D16" s="211"/>
      <c r="E16" s="211">
        <v>0</v>
      </c>
      <c r="F16" s="211"/>
      <c r="G16" s="211"/>
      <c r="H16" s="218"/>
    </row>
    <row r="17" spans="1:8" ht="47.4" thickBot="1">
      <c r="A17" s="234">
        <v>45993</v>
      </c>
      <c r="B17" s="208" t="s">
        <v>176</v>
      </c>
      <c r="C17" s="210"/>
      <c r="D17" s="211"/>
      <c r="E17" s="211">
        <f>-6000+580</f>
        <v>-5420</v>
      </c>
      <c r="F17" s="211">
        <f>5800+200</f>
        <v>6000</v>
      </c>
      <c r="G17" s="211"/>
      <c r="H17" s="217" t="s">
        <v>340</v>
      </c>
    </row>
    <row r="18" spans="1:8" ht="16.8" thickTop="1" thickBot="1">
      <c r="A18" s="213"/>
      <c r="B18" s="214"/>
      <c r="C18" s="215"/>
      <c r="D18" s="215" t="s">
        <v>125</v>
      </c>
      <c r="E18" s="215">
        <f>SUBTOTAL(9,E10:E17)</f>
        <v>675794</v>
      </c>
      <c r="F18" s="215">
        <f>SUBTOTAL(9,F10:F17)</f>
        <v>6800</v>
      </c>
      <c r="G18" s="215">
        <f>SUBTOTAL(9,G10:G17)</f>
        <v>-223</v>
      </c>
      <c r="H18" s="216"/>
    </row>
    <row r="19" spans="1:8" ht="31.2" customHeight="1" thickTop="1">
      <c r="A19" s="234">
        <v>45994</v>
      </c>
      <c r="B19" s="208" t="s">
        <v>59</v>
      </c>
      <c r="C19" s="210"/>
      <c r="D19" s="211">
        <v>217831</v>
      </c>
      <c r="E19" s="211">
        <v>192030</v>
      </c>
      <c r="F19" s="211"/>
      <c r="G19" s="211">
        <f>Tableau12[[#This Row],[CHARGE]]+Tableau12[[#This Row],[VERSEMENT]]-Tableau12[[#This Row],[T.LOGICIEL]]</f>
        <v>-25801</v>
      </c>
      <c r="H19" s="248" t="s">
        <v>341</v>
      </c>
    </row>
    <row r="20" spans="1:8" ht="31.2" customHeight="1">
      <c r="A20" s="234">
        <v>45994</v>
      </c>
      <c r="B20" s="208" t="s">
        <v>325</v>
      </c>
      <c r="C20" s="210">
        <v>137685</v>
      </c>
      <c r="D20" s="211">
        <f>137685</f>
        <v>137685</v>
      </c>
      <c r="E20" s="211">
        <f>137685-3566-9</f>
        <v>134110</v>
      </c>
      <c r="F20" s="211"/>
      <c r="G20" s="211">
        <f>Tableau12[[#This Row],[CHARGE]]+Tableau12[[#This Row],[VERSEMENT]]-Tableau12[[#This Row],[T.LOGICIEL]]</f>
        <v>-3575</v>
      </c>
      <c r="H20" s="217" t="s">
        <v>342</v>
      </c>
    </row>
    <row r="21" spans="1:8" ht="31.2" customHeight="1">
      <c r="A21" s="234">
        <v>45994</v>
      </c>
      <c r="B21" s="208" t="s">
        <v>327</v>
      </c>
      <c r="C21" s="210">
        <v>104070</v>
      </c>
      <c r="D21" s="211">
        <v>103790</v>
      </c>
      <c r="E21" s="211">
        <f>103790-1125</f>
        <v>102665</v>
      </c>
      <c r="F21" s="211">
        <v>1000</v>
      </c>
      <c r="G21" s="211">
        <f>Tableau12[[#This Row],[CHARGE]]+Tableau12[[#This Row],[VERSEMENT]]-Tableau12[[#This Row],[T.LOGICIEL]]</f>
        <v>-125</v>
      </c>
      <c r="H21" s="217" t="s">
        <v>343</v>
      </c>
    </row>
    <row r="22" spans="1:8" ht="31.2" customHeight="1">
      <c r="A22" s="234">
        <v>45994</v>
      </c>
      <c r="B22" s="208" t="s">
        <v>329</v>
      </c>
      <c r="C22" s="210">
        <v>76535</v>
      </c>
      <c r="D22" s="211">
        <v>76535</v>
      </c>
      <c r="E22" s="211">
        <f>76535-1000</f>
        <v>75535</v>
      </c>
      <c r="F22" s="211">
        <v>1000</v>
      </c>
      <c r="G22" s="211">
        <f>Tableau12[[#This Row],[CHARGE]]+Tableau12[[#This Row],[VERSEMENT]]-Tableau12[[#This Row],[T.LOGICIEL]]</f>
        <v>0</v>
      </c>
      <c r="H22" s="217" t="s">
        <v>344</v>
      </c>
    </row>
    <row r="23" spans="1:8" ht="31.2" customHeight="1">
      <c r="A23" s="249">
        <v>45994</v>
      </c>
      <c r="B23" s="250" t="s">
        <v>331</v>
      </c>
      <c r="C23" s="251"/>
      <c r="D23" s="252"/>
      <c r="E23" s="252">
        <f>20450+2000</f>
        <v>22450</v>
      </c>
      <c r="F23" s="252"/>
      <c r="G23" s="252"/>
      <c r="H23" s="248" t="s">
        <v>345</v>
      </c>
    </row>
    <row r="24" spans="1:8" ht="15.6">
      <c r="A24" s="234">
        <v>45994</v>
      </c>
      <c r="B24" s="208" t="s">
        <v>333</v>
      </c>
      <c r="C24" s="212"/>
      <c r="D24" s="211"/>
      <c r="E24" s="211">
        <v>0</v>
      </c>
      <c r="F24" s="211"/>
      <c r="G24" s="211"/>
      <c r="H24" s="217"/>
    </row>
    <row r="25" spans="1:8" ht="15.6">
      <c r="A25" s="234">
        <v>45994</v>
      </c>
      <c r="B25" s="208" t="s">
        <v>334</v>
      </c>
      <c r="C25" s="212"/>
      <c r="D25" s="211"/>
      <c r="E25" s="211">
        <v>0</v>
      </c>
      <c r="F25" s="211"/>
      <c r="G25" s="211"/>
      <c r="H25" s="217"/>
    </row>
    <row r="26" spans="1:8" ht="31.2" customHeight="1" thickBot="1">
      <c r="A26" s="234">
        <v>45994</v>
      </c>
      <c r="B26" s="208" t="s">
        <v>176</v>
      </c>
      <c r="C26" s="210"/>
      <c r="D26" s="211"/>
      <c r="E26" s="211">
        <f>1700</f>
        <v>1700</v>
      </c>
      <c r="F26" s="211"/>
      <c r="G26" s="211"/>
      <c r="H26" s="217" t="s">
        <v>346</v>
      </c>
    </row>
    <row r="27" spans="1:8" ht="16.8" thickTop="1" thickBot="1">
      <c r="A27" s="213"/>
      <c r="B27" s="214"/>
      <c r="C27" s="215"/>
      <c r="D27" s="215" t="s">
        <v>125</v>
      </c>
      <c r="E27" s="215">
        <f>SUBTOTAL(9,E19:E26)</f>
        <v>528490</v>
      </c>
      <c r="F27" s="215">
        <f>SUBTOTAL(9,F19:F26)</f>
        <v>2000</v>
      </c>
      <c r="G27" s="215">
        <f>SUBTOTAL(9,G19:G26)</f>
        <v>-29501</v>
      </c>
      <c r="H27" s="216"/>
    </row>
    <row r="28" spans="1:8" ht="32.4" customHeight="1" thickTop="1">
      <c r="A28" s="234">
        <v>45995</v>
      </c>
      <c r="B28" s="208" t="s">
        <v>59</v>
      </c>
      <c r="C28" s="210"/>
      <c r="D28" s="211">
        <v>165637</v>
      </c>
      <c r="E28" s="211">
        <v>165670</v>
      </c>
      <c r="F28" s="211"/>
      <c r="G28" s="211">
        <f>Tableau12[[#This Row],[CHARGE]]+Tableau12[[#This Row],[VERSEMENT]]-Tableau12[[#This Row],[T.LOGICIEL]]</f>
        <v>33</v>
      </c>
      <c r="H28" s="217"/>
    </row>
    <row r="29" spans="1:8" ht="32.4" customHeight="1">
      <c r="A29" s="234">
        <v>45995</v>
      </c>
      <c r="B29" s="208" t="s">
        <v>325</v>
      </c>
      <c r="C29" s="210">
        <f>168846-130+1850</f>
        <v>170566</v>
      </c>
      <c r="D29" s="211">
        <f>160430+1850</f>
        <v>162280</v>
      </c>
      <c r="E29" s="211">
        <f>160430+1850</f>
        <v>162280</v>
      </c>
      <c r="F29" s="211"/>
      <c r="G29" s="211">
        <f>Tableau12[[#This Row],[CHARGE]]+Tableau12[[#This Row],[VERSEMENT]]-Tableau12[[#This Row],[T.LOGICIEL]]</f>
        <v>0</v>
      </c>
      <c r="H29" s="217" t="s">
        <v>347</v>
      </c>
    </row>
    <row r="30" spans="1:8" ht="32.4" customHeight="1">
      <c r="A30" s="234">
        <v>45995</v>
      </c>
      <c r="B30" s="208" t="s">
        <v>327</v>
      </c>
      <c r="C30" s="210">
        <v>282520</v>
      </c>
      <c r="D30" s="211">
        <v>280750</v>
      </c>
      <c r="E30" s="211">
        <f>280750</f>
        <v>280750</v>
      </c>
      <c r="F30" s="211"/>
      <c r="G30" s="211">
        <f>Tableau12[[#This Row],[CHARGE]]+Tableau12[[#This Row],[VERSEMENT]]-Tableau12[[#This Row],[T.LOGICIEL]]</f>
        <v>0</v>
      </c>
      <c r="H30" s="217" t="s">
        <v>348</v>
      </c>
    </row>
    <row r="31" spans="1:8" ht="32.4" customHeight="1">
      <c r="A31" s="234">
        <v>45995</v>
      </c>
      <c r="B31" s="208" t="s">
        <v>329</v>
      </c>
      <c r="C31" s="210">
        <v>244147</v>
      </c>
      <c r="D31" s="211">
        <v>234152</v>
      </c>
      <c r="E31" s="211">
        <f>234152-1000</f>
        <v>233152</v>
      </c>
      <c r="F31" s="211">
        <v>1000</v>
      </c>
      <c r="G31" s="211">
        <f>Tableau12[[#This Row],[CHARGE]]+Tableau12[[#This Row],[VERSEMENT]]-Tableau12[[#This Row],[T.LOGICIEL]]</f>
        <v>0</v>
      </c>
      <c r="H31" s="217" t="s">
        <v>349</v>
      </c>
    </row>
    <row r="32" spans="1:8" ht="32.4" customHeight="1">
      <c r="A32" s="249">
        <v>45995</v>
      </c>
      <c r="B32" s="250" t="s">
        <v>331</v>
      </c>
      <c r="C32" s="251"/>
      <c r="D32" s="252"/>
      <c r="E32" s="252">
        <f>15908</f>
        <v>15908</v>
      </c>
      <c r="F32" s="252"/>
      <c r="G32" s="252"/>
      <c r="H32" s="248" t="s">
        <v>350</v>
      </c>
    </row>
    <row r="33" spans="1:8" ht="15.6">
      <c r="A33" s="234">
        <v>45995</v>
      </c>
      <c r="B33" s="208" t="s">
        <v>333</v>
      </c>
      <c r="C33" s="212"/>
      <c r="D33" s="211"/>
      <c r="E33" s="211">
        <v>0</v>
      </c>
      <c r="F33" s="211"/>
      <c r="G33" s="211"/>
      <c r="H33" s="217"/>
    </row>
    <row r="34" spans="1:8" ht="32.4" customHeight="1">
      <c r="A34" s="257">
        <v>45995</v>
      </c>
      <c r="B34" s="258" t="s">
        <v>334</v>
      </c>
      <c r="C34" s="259"/>
      <c r="D34" s="260"/>
      <c r="E34" s="260">
        <f>-27300</f>
        <v>-27300</v>
      </c>
      <c r="F34" s="260"/>
      <c r="G34" s="260"/>
      <c r="H34" s="256" t="s">
        <v>351</v>
      </c>
    </row>
    <row r="35" spans="1:8" ht="32.4" customHeight="1" thickBot="1">
      <c r="A35" s="234">
        <v>45995</v>
      </c>
      <c r="B35" s="208" t="s">
        <v>176</v>
      </c>
      <c r="C35" s="210"/>
      <c r="D35" s="211"/>
      <c r="E35" s="211">
        <f>340</f>
        <v>340</v>
      </c>
      <c r="F35" s="211"/>
      <c r="G35" s="211"/>
      <c r="H35" s="217" t="s">
        <v>352</v>
      </c>
    </row>
    <row r="36" spans="1:8" ht="16.8" thickTop="1" thickBot="1">
      <c r="A36" s="213"/>
      <c r="B36" s="214"/>
      <c r="C36" s="215"/>
      <c r="D36" s="215" t="s">
        <v>125</v>
      </c>
      <c r="E36" s="215">
        <f>SUBTOTAL(9,E28:E35)</f>
        <v>830800</v>
      </c>
      <c r="F36" s="215">
        <f>SUBTOTAL(9,F28:F35)</f>
        <v>1000</v>
      </c>
      <c r="G36" s="215">
        <f>SUBTOTAL(9,G28:G35)</f>
        <v>33</v>
      </c>
      <c r="H36" s="216">
        <v>1</v>
      </c>
    </row>
    <row r="37" spans="1:8" ht="37.200000000000003" customHeight="1" thickTop="1">
      <c r="A37" s="234">
        <v>45997</v>
      </c>
      <c r="B37" s="208" t="s">
        <v>59</v>
      </c>
      <c r="C37" s="210"/>
      <c r="D37" s="211">
        <v>237731</v>
      </c>
      <c r="E37" s="211">
        <v>237540</v>
      </c>
      <c r="F37" s="211"/>
      <c r="G37" s="211">
        <f>Tableau12[[#This Row],[CHARGE]]+Tableau12[[#This Row],[VERSEMENT]]-Tableau12[[#This Row],[T.LOGICIEL]]</f>
        <v>-191</v>
      </c>
      <c r="H37" s="248" t="s">
        <v>353</v>
      </c>
    </row>
    <row r="38" spans="1:8" ht="35.4" customHeight="1">
      <c r="A38" s="209">
        <v>45997</v>
      </c>
      <c r="B38" s="208" t="s">
        <v>325</v>
      </c>
      <c r="C38" s="210">
        <v>107936</v>
      </c>
      <c r="D38" s="211">
        <v>107126</v>
      </c>
      <c r="E38" s="211">
        <f>107126-250</f>
        <v>106876</v>
      </c>
      <c r="F38" s="211">
        <v>250</v>
      </c>
      <c r="G38" s="211">
        <f>Tableau12[[#This Row],[CHARGE]]+Tableau12[[#This Row],[VERSEMENT]]-Tableau12[[#This Row],[T.LOGICIEL]]</f>
        <v>0</v>
      </c>
      <c r="H38" s="217" t="s">
        <v>354</v>
      </c>
    </row>
    <row r="39" spans="1:8" ht="52.2" customHeight="1">
      <c r="A39" s="234">
        <v>45997</v>
      </c>
      <c r="B39" s="208" t="s">
        <v>327</v>
      </c>
      <c r="C39" s="210">
        <f>355228+75375+7800</f>
        <v>438403</v>
      </c>
      <c r="D39" s="211">
        <f>308788+52860+75375</f>
        <v>437023</v>
      </c>
      <c r="E39" s="211">
        <f>267313+52860+41475-(145*2)-(85*3)+75375-1000</f>
        <v>435478</v>
      </c>
      <c r="F39" s="211">
        <v>1000</v>
      </c>
      <c r="G39" s="211">
        <f>Tableau12[[#This Row],[CHARGE]]+Tableau12[[#This Row],[VERSEMENT]]-Tableau12[[#This Row],[T.LOGICIEL]]</f>
        <v>-545</v>
      </c>
      <c r="H39" s="217" t="s">
        <v>355</v>
      </c>
    </row>
    <row r="40" spans="1:8" ht="37.200000000000003" customHeight="1">
      <c r="A40" s="234">
        <v>45997</v>
      </c>
      <c r="B40" s="208" t="s">
        <v>329</v>
      </c>
      <c r="C40" s="210">
        <f>128450+9139</f>
        <v>137589</v>
      </c>
      <c r="D40" s="211">
        <v>137184</v>
      </c>
      <c r="E40" s="211">
        <v>136185</v>
      </c>
      <c r="F40" s="211">
        <v>1000</v>
      </c>
      <c r="G40" s="211">
        <f>Tableau12[[#This Row],[CHARGE]]+Tableau12[[#This Row],[VERSEMENT]]-Tableau12[[#This Row],[T.LOGICIEL]]</f>
        <v>1</v>
      </c>
      <c r="H40" s="217" t="s">
        <v>356</v>
      </c>
    </row>
    <row r="41" spans="1:8" ht="15.6">
      <c r="A41" s="235">
        <v>45997</v>
      </c>
      <c r="B41" s="236" t="s">
        <v>331</v>
      </c>
      <c r="C41" s="237"/>
      <c r="D41" s="238"/>
      <c r="E41" s="238">
        <v>0</v>
      </c>
      <c r="F41" s="238"/>
      <c r="G41" s="238"/>
      <c r="H41" s="239"/>
    </row>
    <row r="42" spans="1:8" ht="15.6">
      <c r="A42" s="209">
        <v>45997</v>
      </c>
      <c r="B42" s="208" t="s">
        <v>333</v>
      </c>
      <c r="C42" s="212"/>
      <c r="D42" s="211"/>
      <c r="E42" s="211">
        <v>0</v>
      </c>
      <c r="F42" s="211"/>
      <c r="G42" s="211"/>
      <c r="H42" s="217"/>
    </row>
    <row r="43" spans="1:8" ht="75.599999999999994" customHeight="1">
      <c r="A43" s="257">
        <v>45997</v>
      </c>
      <c r="B43" s="258" t="s">
        <v>334</v>
      </c>
      <c r="C43" s="259"/>
      <c r="D43" s="260"/>
      <c r="E43" s="260">
        <f>-(48878+8050+2860+49565)</f>
        <v>-109353</v>
      </c>
      <c r="F43" s="260"/>
      <c r="G43" s="260"/>
      <c r="H43" s="256" t="s">
        <v>357</v>
      </c>
    </row>
    <row r="44" spans="1:8" ht="16.2" thickBot="1">
      <c r="A44" s="209">
        <v>45997</v>
      </c>
      <c r="B44" s="208" t="s">
        <v>176</v>
      </c>
      <c r="C44" s="210"/>
      <c r="D44" s="211"/>
      <c r="E44" s="211">
        <v>0</v>
      </c>
      <c r="F44" s="211"/>
      <c r="G44" s="211"/>
      <c r="H44" s="217"/>
    </row>
    <row r="45" spans="1:8" ht="16.8" thickTop="1" thickBot="1">
      <c r="A45" s="213"/>
      <c r="B45" s="214"/>
      <c r="C45" s="215"/>
      <c r="D45" s="215" t="s">
        <v>125</v>
      </c>
      <c r="E45" s="215">
        <f>SUBTOTAL(9,E37:E44)</f>
        <v>806726</v>
      </c>
      <c r="F45" s="215">
        <f>SUBTOTAL(9,F37:F44)</f>
        <v>2250</v>
      </c>
      <c r="G45" s="215">
        <f>SUBTOTAL(9,G37:G44)</f>
        <v>-735</v>
      </c>
      <c r="H45" s="216"/>
    </row>
    <row r="46" spans="1:8" ht="31.2" customHeight="1" thickTop="1">
      <c r="A46" s="234">
        <v>45998</v>
      </c>
      <c r="B46" s="208" t="s">
        <v>59</v>
      </c>
      <c r="C46" s="210"/>
      <c r="D46" s="211">
        <v>414038</v>
      </c>
      <c r="E46" s="211">
        <f>412340</f>
        <v>412340</v>
      </c>
      <c r="F46" s="211"/>
      <c r="G46" s="211">
        <f>Tableau12[[#This Row],[CHARGE]]+Tableau12[[#This Row],[VERSEMENT]]-Tableau12[[#This Row],[T.LOGICIEL]]</f>
        <v>-1698</v>
      </c>
      <c r="H46" s="248" t="s">
        <v>358</v>
      </c>
    </row>
    <row r="47" spans="1:8" s="241" customFormat="1" ht="57.6" customHeight="1">
      <c r="A47" s="234">
        <v>45998</v>
      </c>
      <c r="B47" s="208" t="s">
        <v>325</v>
      </c>
      <c r="C47" s="210">
        <v>228193</v>
      </c>
      <c r="D47" s="211">
        <f>219733</f>
        <v>219733</v>
      </c>
      <c r="E47" s="211">
        <f>71175-1000+147240+1335</f>
        <v>218750</v>
      </c>
      <c r="F47" s="211">
        <v>1000</v>
      </c>
      <c r="G47" s="211">
        <f>Tableau12[[#This Row],[CHARGE]]+Tableau12[[#This Row],[VERSEMENT]]-Tableau12[[#This Row],[T.LOGICIEL]]</f>
        <v>17</v>
      </c>
      <c r="H47" s="240" t="s">
        <v>359</v>
      </c>
    </row>
    <row r="48" spans="1:8" s="241" customFormat="1" ht="27" customHeight="1">
      <c r="A48" s="234">
        <v>45998</v>
      </c>
      <c r="B48" s="208" t="s">
        <v>327</v>
      </c>
      <c r="C48" s="210">
        <v>67789</v>
      </c>
      <c r="D48" s="211">
        <v>67789</v>
      </c>
      <c r="E48" s="211">
        <v>67705</v>
      </c>
      <c r="F48" s="211"/>
      <c r="G48" s="211">
        <f>Tableau12[[#This Row],[CHARGE]]+Tableau12[[#This Row],[VERSEMENT]]-Tableau12[[#This Row],[T.LOGICIEL]]</f>
        <v>-84</v>
      </c>
      <c r="H48" s="240" t="s">
        <v>360</v>
      </c>
    </row>
    <row r="49" spans="1:8" s="241" customFormat="1" ht="31.2" customHeight="1">
      <c r="A49" s="234">
        <v>45998</v>
      </c>
      <c r="B49" s="208" t="s">
        <v>329</v>
      </c>
      <c r="C49" s="210">
        <v>182680</v>
      </c>
      <c r="D49" s="211">
        <v>182680</v>
      </c>
      <c r="E49" s="211">
        <v>182645</v>
      </c>
      <c r="F49" s="211"/>
      <c r="G49" s="211">
        <f>Tableau12[[#This Row],[CHARGE]]+Tableau12[[#This Row],[VERSEMENT]]-Tableau12[[#This Row],[T.LOGICIEL]]</f>
        <v>-35</v>
      </c>
      <c r="H49" s="240"/>
    </row>
    <row r="50" spans="1:8" ht="31.2">
      <c r="A50" s="249">
        <v>45998</v>
      </c>
      <c r="B50" s="250" t="s">
        <v>331</v>
      </c>
      <c r="C50" s="251"/>
      <c r="D50" s="252"/>
      <c r="E50" s="252">
        <f>5501+14675</f>
        <v>20176</v>
      </c>
      <c r="F50" s="252"/>
      <c r="G50" s="252"/>
      <c r="H50" s="248" t="s">
        <v>361</v>
      </c>
    </row>
    <row r="51" spans="1:8" ht="22.95" customHeight="1">
      <c r="A51" s="234">
        <v>45998</v>
      </c>
      <c r="B51" s="208" t="s">
        <v>333</v>
      </c>
      <c r="C51" s="212"/>
      <c r="D51" s="211"/>
      <c r="E51" s="211">
        <v>0</v>
      </c>
      <c r="F51" s="211"/>
      <c r="G51" s="211"/>
      <c r="H51" s="217"/>
    </row>
    <row r="52" spans="1:8" ht="22.95" customHeight="1">
      <c r="A52" s="234">
        <v>45998</v>
      </c>
      <c r="B52" s="208" t="s">
        <v>334</v>
      </c>
      <c r="C52" s="212"/>
      <c r="D52" s="211"/>
      <c r="E52" s="211">
        <v>0</v>
      </c>
      <c r="F52" s="211"/>
      <c r="G52" s="211"/>
      <c r="H52" s="217"/>
    </row>
    <row r="53" spans="1:8" ht="22.95" customHeight="1" thickBot="1">
      <c r="A53" s="234">
        <v>45998</v>
      </c>
      <c r="B53" s="208" t="s">
        <v>176</v>
      </c>
      <c r="C53" s="210"/>
      <c r="D53" s="211"/>
      <c r="E53" s="211">
        <f>-150</f>
        <v>-150</v>
      </c>
      <c r="F53" s="211">
        <v>150</v>
      </c>
      <c r="G53" s="211"/>
      <c r="H53" s="217" t="s">
        <v>362</v>
      </c>
    </row>
    <row r="54" spans="1:8" ht="16.8" thickTop="1" thickBot="1">
      <c r="A54" s="213"/>
      <c r="B54" s="214"/>
      <c r="C54" s="215"/>
      <c r="D54" s="215" t="s">
        <v>125</v>
      </c>
      <c r="E54" s="215">
        <f>SUBTOTAL(9,E46:E53)</f>
        <v>901466</v>
      </c>
      <c r="F54" s="215">
        <f>SUBTOTAL(9,F46:F53)</f>
        <v>1150</v>
      </c>
      <c r="G54" s="215">
        <f>SUBTOTAL(9,G46:G53)</f>
        <v>-1800</v>
      </c>
      <c r="H54" s="216"/>
    </row>
    <row r="55" spans="1:8" ht="16.2" thickTop="1">
      <c r="A55" s="234">
        <v>45999</v>
      </c>
      <c r="B55" s="208" t="s">
        <v>59</v>
      </c>
      <c r="C55" s="210"/>
      <c r="D55" s="211">
        <v>170950</v>
      </c>
      <c r="E55" s="211">
        <v>170955</v>
      </c>
      <c r="F55" s="211"/>
      <c r="G55" s="211">
        <f>Tableau12[[#This Row],[CHARGE]]+Tableau12[[#This Row],[VERSEMENT]]-Tableau12[[#This Row],[T.LOGICIEL]]</f>
        <v>5</v>
      </c>
      <c r="H55" s="217"/>
    </row>
    <row r="56" spans="1:8" ht="18.600000000000001" customHeight="1">
      <c r="A56" s="234">
        <v>45999</v>
      </c>
      <c r="B56" s="208" t="s">
        <v>325</v>
      </c>
      <c r="C56" s="210">
        <v>154755</v>
      </c>
      <c r="D56" s="211">
        <v>148655</v>
      </c>
      <c r="E56" s="211">
        <f>148085+570</f>
        <v>148655</v>
      </c>
      <c r="F56" s="211"/>
      <c r="G56" s="211">
        <f>Tableau12[[#This Row],[CHARGE]]+Tableau12[[#This Row],[VERSEMENT]]-Tableau12[[#This Row],[T.LOGICIEL]]</f>
        <v>0</v>
      </c>
      <c r="H56" s="217" t="s">
        <v>363</v>
      </c>
    </row>
    <row r="57" spans="1:8" ht="52.2" customHeight="1">
      <c r="A57" s="234">
        <v>45999</v>
      </c>
      <c r="B57" s="208" t="s">
        <v>327</v>
      </c>
      <c r="C57" s="210">
        <f>209095</f>
        <v>209095</v>
      </c>
      <c r="D57" s="211">
        <f>206995</f>
        <v>206995</v>
      </c>
      <c r="E57" s="211">
        <f>206995-1000-145-60</f>
        <v>205790</v>
      </c>
      <c r="F57" s="211">
        <v>1000</v>
      </c>
      <c r="G57" s="211">
        <f>Tableau12[[#This Row],[CHARGE]]+Tableau12[[#This Row],[VERSEMENT]]-Tableau12[[#This Row],[T.LOGICIEL]]</f>
        <v>-205</v>
      </c>
      <c r="H57" s="217" t="s">
        <v>364</v>
      </c>
    </row>
    <row r="58" spans="1:8" ht="81.599999999999994" customHeight="1">
      <c r="A58" s="234">
        <v>45999</v>
      </c>
      <c r="B58" s="208" t="s">
        <v>329</v>
      </c>
      <c r="C58" s="210">
        <v>76160</v>
      </c>
      <c r="D58" s="211">
        <f>76160</f>
        <v>76160</v>
      </c>
      <c r="E58" s="211">
        <f>76160-2000-950-450-1000-100-45</f>
        <v>71615</v>
      </c>
      <c r="F58" s="211">
        <f>2000+950+450+1000+100</f>
        <v>4500</v>
      </c>
      <c r="G58" s="211">
        <f>Tableau12[[#This Row],[CHARGE]]+Tableau12[[#This Row],[VERSEMENT]]-Tableau12[[#This Row],[T.LOGICIEL]]</f>
        <v>-45</v>
      </c>
      <c r="H58" s="217" t="s">
        <v>365</v>
      </c>
    </row>
    <row r="59" spans="1:8" ht="15.6">
      <c r="A59" s="242">
        <v>45999</v>
      </c>
      <c r="B59" s="236" t="s">
        <v>331</v>
      </c>
      <c r="C59" s="237"/>
      <c r="D59" s="238"/>
      <c r="E59" s="238">
        <v>0</v>
      </c>
      <c r="F59" s="238"/>
      <c r="G59" s="238"/>
      <c r="H59" s="239"/>
    </row>
    <row r="60" spans="1:8" ht="15.6">
      <c r="A60" s="234">
        <v>45999</v>
      </c>
      <c r="B60" s="208" t="s">
        <v>333</v>
      </c>
      <c r="C60" s="212"/>
      <c r="D60" s="211"/>
      <c r="E60" s="211">
        <v>0</v>
      </c>
      <c r="F60" s="211"/>
      <c r="G60" s="211"/>
      <c r="H60" s="217"/>
    </row>
    <row r="61" spans="1:8" ht="25.95" customHeight="1" thickBot="1">
      <c r="A61" s="257">
        <v>45999</v>
      </c>
      <c r="B61" s="258" t="s">
        <v>334</v>
      </c>
      <c r="C61" s="259"/>
      <c r="D61" s="260"/>
      <c r="E61" s="260">
        <f>-24000</f>
        <v>-24000</v>
      </c>
      <c r="F61" s="260"/>
      <c r="G61" s="260"/>
      <c r="H61" s="256" t="s">
        <v>366</v>
      </c>
    </row>
    <row r="62" spans="1:8" ht="16.8" thickTop="1" thickBot="1">
      <c r="A62" s="213"/>
      <c r="B62" s="214"/>
      <c r="C62" s="215"/>
      <c r="D62" s="215" t="s">
        <v>125</v>
      </c>
      <c r="E62" s="215">
        <f>SUBTOTAL(9,E55:E61)</f>
        <v>573015</v>
      </c>
      <c r="F62" s="215">
        <f>SUBTOTAL(9,F55:F61)</f>
        <v>5500</v>
      </c>
      <c r="G62" s="215">
        <f>SUBTOTAL(9,G55:G61)</f>
        <v>-245</v>
      </c>
      <c r="H62" s="216"/>
    </row>
    <row r="63" spans="1:8" ht="24.6" customHeight="1" thickTop="1">
      <c r="A63" s="234">
        <v>46000</v>
      </c>
      <c r="B63" s="208" t="s">
        <v>59</v>
      </c>
      <c r="C63" s="210"/>
      <c r="D63" s="211">
        <f>257653-1896</f>
        <v>255757</v>
      </c>
      <c r="E63" s="211">
        <f>225100</f>
        <v>225100</v>
      </c>
      <c r="F63" s="211"/>
      <c r="G63" s="211">
        <f>Tableau12[[#This Row],[CHARGE]]+Tableau12[[#This Row],[VERSEMENT]]-Tableau12[[#This Row],[T.LOGICIEL]]</f>
        <v>-30657</v>
      </c>
      <c r="H63" s="248" t="s">
        <v>367</v>
      </c>
    </row>
    <row r="64" spans="1:8" ht="30.75" customHeight="1">
      <c r="A64" s="234">
        <v>46000</v>
      </c>
      <c r="B64" s="208" t="s">
        <v>325</v>
      </c>
      <c r="C64" s="210">
        <v>185597</v>
      </c>
      <c r="D64" s="211">
        <v>172802</v>
      </c>
      <c r="E64" s="211">
        <v>172800</v>
      </c>
      <c r="F64" s="211"/>
      <c r="G64" s="211">
        <f>Tableau12[[#This Row],[CHARGE]]+Tableau12[[#This Row],[VERSEMENT]]-Tableau12[[#This Row],[T.LOGICIEL]]</f>
        <v>-2</v>
      </c>
      <c r="H64" s="217" t="s">
        <v>368</v>
      </c>
    </row>
    <row r="65" spans="1:8" ht="15.6">
      <c r="A65" s="234">
        <v>46000</v>
      </c>
      <c r="B65" s="208" t="s">
        <v>327</v>
      </c>
      <c r="C65" s="210">
        <f>205465+79200</f>
        <v>284665</v>
      </c>
      <c r="D65" s="211">
        <f>165459+79200</f>
        <v>244659</v>
      </c>
      <c r="E65" s="211">
        <f>165459+79200</f>
        <v>244659</v>
      </c>
      <c r="F65" s="211"/>
      <c r="G65" s="211">
        <f>Tableau12[[#This Row],[CHARGE]]+Tableau12[[#This Row],[VERSEMENT]]-Tableau12[[#This Row],[T.LOGICIEL]]</f>
        <v>0</v>
      </c>
      <c r="H65" s="217" t="s">
        <v>369</v>
      </c>
    </row>
    <row r="66" spans="1:8" ht="15.6">
      <c r="A66" s="234">
        <v>46000</v>
      </c>
      <c r="B66" s="208" t="s">
        <v>329</v>
      </c>
      <c r="C66" s="210">
        <v>81990</v>
      </c>
      <c r="D66" s="211">
        <v>81990</v>
      </c>
      <c r="E66" s="211">
        <f>158150-76160</f>
        <v>81990</v>
      </c>
      <c r="F66" s="211"/>
      <c r="G66" s="211">
        <f>Tableau12[[#This Row],[CHARGE]]+Tableau12[[#This Row],[VERSEMENT]]-Tableau12[[#This Row],[T.LOGICIEL]]</f>
        <v>0</v>
      </c>
      <c r="H66" s="217"/>
    </row>
    <row r="67" spans="1:8" ht="24.6" customHeight="1">
      <c r="A67" s="249">
        <v>46000</v>
      </c>
      <c r="B67" s="250" t="s">
        <v>331</v>
      </c>
      <c r="C67" s="251"/>
      <c r="D67" s="252"/>
      <c r="E67" s="252">
        <v>24000</v>
      </c>
      <c r="F67" s="252"/>
      <c r="G67" s="252"/>
      <c r="H67" s="248" t="s">
        <v>370</v>
      </c>
    </row>
    <row r="68" spans="1:8" ht="15.6">
      <c r="A68" s="234">
        <v>46000</v>
      </c>
      <c r="B68" s="208" t="s">
        <v>333</v>
      </c>
      <c r="C68" s="212"/>
      <c r="D68" s="211"/>
      <c r="E68" s="211">
        <v>0</v>
      </c>
      <c r="F68" s="211"/>
      <c r="G68" s="211"/>
      <c r="H68" s="217"/>
    </row>
    <row r="69" spans="1:8" ht="31.2" customHeight="1">
      <c r="A69" s="257">
        <v>46000</v>
      </c>
      <c r="B69" s="258" t="s">
        <v>334</v>
      </c>
      <c r="C69" s="259"/>
      <c r="D69" s="260"/>
      <c r="E69" s="260">
        <f>-57600-8000</f>
        <v>-65600</v>
      </c>
      <c r="F69" s="260"/>
      <c r="G69" s="260"/>
      <c r="H69" s="256" t="s">
        <v>371</v>
      </c>
    </row>
    <row r="70" spans="1:8" ht="47.4" thickBot="1">
      <c r="A70" s="234">
        <v>46000</v>
      </c>
      <c r="B70" s="208" t="s">
        <v>176</v>
      </c>
      <c r="C70" s="210"/>
      <c r="D70" s="211"/>
      <c r="E70" s="211">
        <f>-(50+1200+200)</f>
        <v>-1450</v>
      </c>
      <c r="F70" s="211">
        <f>50+1200+200</f>
        <v>1450</v>
      </c>
      <c r="G70" s="211"/>
      <c r="H70" s="217" t="s">
        <v>372</v>
      </c>
    </row>
    <row r="71" spans="1:8" ht="16.8" thickTop="1" thickBot="1">
      <c r="A71" s="213"/>
      <c r="B71" s="214"/>
      <c r="C71" s="215"/>
      <c r="D71" s="215" t="s">
        <v>125</v>
      </c>
      <c r="E71" s="215">
        <f>SUBTOTAL(9,E63:E70)</f>
        <v>681499</v>
      </c>
      <c r="F71" s="215">
        <f>SUBTOTAL(9,F63:F70)</f>
        <v>1450</v>
      </c>
      <c r="G71" s="215">
        <f>SUBTOTAL(9,G63:G70)</f>
        <v>-30659</v>
      </c>
      <c r="H71" s="216"/>
    </row>
    <row r="72" spans="1:8" ht="47.4" thickTop="1">
      <c r="A72" s="234">
        <v>46001</v>
      </c>
      <c r="B72" s="208" t="s">
        <v>59</v>
      </c>
      <c r="C72" s="210"/>
      <c r="D72" s="211">
        <v>191185</v>
      </c>
      <c r="E72" s="211">
        <f>173745</f>
        <v>173745</v>
      </c>
      <c r="F72" s="211"/>
      <c r="G72" s="211">
        <f>Tableau12[[#This Row],[CHARGE]]+Tableau12[[#This Row],[VERSEMENT]]-Tableau12[[#This Row],[T.LOGICIEL]]</f>
        <v>-17440</v>
      </c>
      <c r="H72" s="248" t="s">
        <v>373</v>
      </c>
    </row>
    <row r="73" spans="1:8" ht="46.8">
      <c r="A73" s="234">
        <v>46001</v>
      </c>
      <c r="B73" s="208" t="s">
        <v>325</v>
      </c>
      <c r="C73" s="210">
        <v>105018</v>
      </c>
      <c r="D73" s="211">
        <f>101590+23270</f>
        <v>124860</v>
      </c>
      <c r="E73" s="211">
        <f>101590+23270</f>
        <v>124860</v>
      </c>
      <c r="F73" s="211"/>
      <c r="G73" s="211">
        <f>Tableau12[[#This Row],[CHARGE]]+Tableau12[[#This Row],[VERSEMENT]]-Tableau12[[#This Row],[T.LOGICIEL]]</f>
        <v>0</v>
      </c>
      <c r="H73" s="217" t="s">
        <v>374</v>
      </c>
    </row>
    <row r="74" spans="1:8" ht="23.4" customHeight="1">
      <c r="A74" s="234">
        <v>46001</v>
      </c>
      <c r="B74" s="208" t="s">
        <v>327</v>
      </c>
      <c r="C74" s="210">
        <v>104295</v>
      </c>
      <c r="D74" s="211">
        <v>104210</v>
      </c>
      <c r="E74" s="211">
        <v>104210</v>
      </c>
      <c r="F74" s="211"/>
      <c r="G74" s="211">
        <f>Tableau12[[#This Row],[CHARGE]]+Tableau12[[#This Row],[VERSEMENT]]-Tableau12[[#This Row],[T.LOGICIEL]]</f>
        <v>0</v>
      </c>
      <c r="H74" s="217" t="s">
        <v>375</v>
      </c>
    </row>
    <row r="75" spans="1:8" ht="23.4" customHeight="1">
      <c r="A75" s="234">
        <v>46001</v>
      </c>
      <c r="B75" s="208" t="s">
        <v>329</v>
      </c>
      <c r="C75" s="210">
        <v>100958</v>
      </c>
      <c r="D75" s="211">
        <v>97153</v>
      </c>
      <c r="E75" s="211">
        <v>97150</v>
      </c>
      <c r="F75" s="211"/>
      <c r="G75" s="211">
        <f>Tableau12[[#This Row],[CHARGE]]+Tableau12[[#This Row],[VERSEMENT]]-Tableau12[[#This Row],[T.LOGICIEL]]</f>
        <v>-3</v>
      </c>
      <c r="H75" s="217" t="s">
        <v>376</v>
      </c>
    </row>
    <row r="76" spans="1:8" ht="62.4">
      <c r="A76" s="249">
        <v>46001</v>
      </c>
      <c r="B76" s="250" t="s">
        <v>331</v>
      </c>
      <c r="C76" s="251"/>
      <c r="D76" s="252"/>
      <c r="E76" s="252">
        <f>12395+57600+3000+5000</f>
        <v>77995</v>
      </c>
      <c r="F76" s="252"/>
      <c r="G76" s="252"/>
      <c r="H76" s="248" t="s">
        <v>377</v>
      </c>
    </row>
    <row r="77" spans="1:8" ht="22.2" customHeight="1">
      <c r="A77" s="234">
        <v>46001</v>
      </c>
      <c r="B77" s="208" t="s">
        <v>333</v>
      </c>
      <c r="C77" s="212"/>
      <c r="D77" s="211"/>
      <c r="E77" s="211">
        <f>-3600</f>
        <v>-3600</v>
      </c>
      <c r="F77" s="211"/>
      <c r="G77" s="211"/>
      <c r="H77" s="217" t="s">
        <v>378</v>
      </c>
    </row>
    <row r="78" spans="1:8" ht="31.2">
      <c r="A78" s="257">
        <v>46001</v>
      </c>
      <c r="B78" s="258" t="s">
        <v>334</v>
      </c>
      <c r="C78" s="259"/>
      <c r="D78" s="260"/>
      <c r="E78" s="260">
        <f>-(2000+3000)</f>
        <v>-5000</v>
      </c>
      <c r="F78" s="260"/>
      <c r="G78" s="260"/>
      <c r="H78" s="256" t="s">
        <v>379</v>
      </c>
    </row>
    <row r="79" spans="1:8" ht="47.4" thickBot="1">
      <c r="A79" s="234">
        <v>46001</v>
      </c>
      <c r="B79" s="208" t="s">
        <v>176</v>
      </c>
      <c r="C79" s="210"/>
      <c r="D79" s="211"/>
      <c r="E79" s="211">
        <f>-(4000+130000+500)</f>
        <v>-134500</v>
      </c>
      <c r="F79" s="211">
        <f>4000+500</f>
        <v>4500</v>
      </c>
      <c r="G79" s="211"/>
      <c r="H79" s="217" t="s">
        <v>380</v>
      </c>
    </row>
    <row r="80" spans="1:8" ht="16.8" thickTop="1" thickBot="1">
      <c r="A80" s="213"/>
      <c r="B80" s="214"/>
      <c r="C80" s="215"/>
      <c r="D80" s="215" t="s">
        <v>125</v>
      </c>
      <c r="E80" s="215">
        <f t="shared" ref="E80:G80" si="0">SUBTOTAL(9,E72:E79)</f>
        <v>434860</v>
      </c>
      <c r="F80" s="215">
        <f t="shared" si="0"/>
        <v>4500</v>
      </c>
      <c r="G80" s="215">
        <f t="shared" si="0"/>
        <v>-17443</v>
      </c>
      <c r="H80" s="216"/>
    </row>
    <row r="81" spans="1:8" ht="18.600000000000001" customHeight="1" thickTop="1">
      <c r="A81" s="234">
        <v>46002</v>
      </c>
      <c r="B81" s="208" t="s">
        <v>59</v>
      </c>
      <c r="C81" s="210"/>
      <c r="D81" s="211">
        <f>177527</f>
        <v>177527</v>
      </c>
      <c r="E81" s="211">
        <f>183280+20000</f>
        <v>203280</v>
      </c>
      <c r="F81" s="211"/>
      <c r="G81" s="211">
        <f>Tableau12[[#This Row],[CHARGE]]+Tableau12[[#This Row],[VERSEMENT]]-Tableau12[[#This Row],[T.LOGICIEL]]</f>
        <v>25753</v>
      </c>
      <c r="H81" s="248" t="s">
        <v>381</v>
      </c>
    </row>
    <row r="82" spans="1:8" ht="49.95" customHeight="1">
      <c r="A82" s="234">
        <v>46002</v>
      </c>
      <c r="B82" s="208" t="s">
        <v>325</v>
      </c>
      <c r="C82" s="210">
        <v>149297</v>
      </c>
      <c r="D82" s="211">
        <f>141467</f>
        <v>141467</v>
      </c>
      <c r="E82" s="211">
        <f>141470-185</f>
        <v>141285</v>
      </c>
      <c r="F82" s="211"/>
      <c r="G82" s="211">
        <f>Tableau12[[#This Row],[CHARGE]]+Tableau12[[#This Row],[VERSEMENT]]-Tableau12[[#This Row],[T.LOGICIEL]]</f>
        <v>-182</v>
      </c>
      <c r="H82" s="217" t="s">
        <v>382</v>
      </c>
    </row>
    <row r="83" spans="1:8" ht="35.4" customHeight="1">
      <c r="A83" s="234">
        <v>46002</v>
      </c>
      <c r="B83" s="208" t="s">
        <v>327</v>
      </c>
      <c r="C83" s="210">
        <v>147755</v>
      </c>
      <c r="D83" s="211">
        <v>147325</v>
      </c>
      <c r="E83" s="211">
        <v>147070</v>
      </c>
      <c r="F83" s="211">
        <v>250</v>
      </c>
      <c r="G83" s="211">
        <f>Tableau12[[#This Row],[CHARGE]]+Tableau12[[#This Row],[VERSEMENT]]-Tableau12[[#This Row],[T.LOGICIEL]]</f>
        <v>-5</v>
      </c>
      <c r="H83" s="217" t="s">
        <v>383</v>
      </c>
    </row>
    <row r="84" spans="1:8" ht="31.95" customHeight="1">
      <c r="A84" s="234">
        <v>46002</v>
      </c>
      <c r="B84" s="208" t="s">
        <v>329</v>
      </c>
      <c r="C84" s="210">
        <f>275722-200</f>
        <v>275522</v>
      </c>
      <c r="D84" s="211">
        <f>269752+5770</f>
        <v>275522</v>
      </c>
      <c r="E84" s="211">
        <f>269752-1000+5770</f>
        <v>274522</v>
      </c>
      <c r="F84" s="211">
        <v>1000</v>
      </c>
      <c r="G84" s="211">
        <f>Tableau12[[#This Row],[CHARGE]]+Tableau12[[#This Row],[VERSEMENT]]-Tableau12[[#This Row],[T.LOGICIEL]]</f>
        <v>0</v>
      </c>
      <c r="H84" s="217" t="s">
        <v>384</v>
      </c>
    </row>
    <row r="85" spans="1:8" ht="46.8">
      <c r="A85" s="249">
        <v>46002</v>
      </c>
      <c r="B85" s="250" t="s">
        <v>331</v>
      </c>
      <c r="C85" s="251"/>
      <c r="D85" s="252"/>
      <c r="E85" s="252">
        <f>9220+4470+5001</f>
        <v>18691</v>
      </c>
      <c r="F85" s="252"/>
      <c r="G85" s="252"/>
      <c r="H85" s="248" t="s">
        <v>385</v>
      </c>
    </row>
    <row r="86" spans="1:8" ht="24" customHeight="1">
      <c r="A86" s="234">
        <v>46002</v>
      </c>
      <c r="B86" s="208" t="s">
        <v>333</v>
      </c>
      <c r="C86" s="212"/>
      <c r="D86" s="211"/>
      <c r="E86" s="211">
        <f>-10000</f>
        <v>-10000</v>
      </c>
      <c r="F86" s="211"/>
      <c r="G86" s="211"/>
      <c r="H86" s="217" t="s">
        <v>386</v>
      </c>
    </row>
    <row r="87" spans="1:8" ht="24" customHeight="1">
      <c r="A87" s="257">
        <v>46002</v>
      </c>
      <c r="B87" s="258" t="s">
        <v>334</v>
      </c>
      <c r="C87" s="259"/>
      <c r="D87" s="260"/>
      <c r="E87" s="260">
        <f>-5770</f>
        <v>-5770</v>
      </c>
      <c r="F87" s="260"/>
      <c r="G87" s="260"/>
      <c r="H87" s="256" t="s">
        <v>387</v>
      </c>
    </row>
    <row r="88" spans="1:8" ht="16.2" thickBot="1">
      <c r="A88" s="234">
        <v>46002</v>
      </c>
      <c r="B88" s="208" t="s">
        <v>176</v>
      </c>
      <c r="C88" s="210"/>
      <c r="D88" s="211"/>
      <c r="E88" s="211">
        <v>0</v>
      </c>
      <c r="F88" s="211"/>
      <c r="G88" s="211"/>
      <c r="H88" s="217"/>
    </row>
    <row r="89" spans="1:8" ht="16.8" thickTop="1" thickBot="1">
      <c r="A89" s="213"/>
      <c r="B89" s="214"/>
      <c r="C89" s="215"/>
      <c r="D89" s="215" t="s">
        <v>125</v>
      </c>
      <c r="E89" s="215">
        <f t="shared" ref="E89:G89" si="1">SUBTOTAL(9,E81:E88)</f>
        <v>769078</v>
      </c>
      <c r="F89" s="215">
        <f t="shared" si="1"/>
        <v>1250</v>
      </c>
      <c r="G89" s="215">
        <f t="shared" si="1"/>
        <v>25566</v>
      </c>
      <c r="H89" s="216"/>
    </row>
    <row r="90" spans="1:8" ht="16.2" thickTop="1">
      <c r="A90" s="209">
        <v>46004</v>
      </c>
      <c r="B90" s="208" t="s">
        <v>59</v>
      </c>
      <c r="C90" s="210"/>
      <c r="D90" s="211">
        <v>192655</v>
      </c>
      <c r="E90" s="211">
        <f>169000</f>
        <v>169000</v>
      </c>
      <c r="F90" s="211"/>
      <c r="G90" s="211">
        <f>Tableau12[[#This Row],[CHARGE]]+Tableau12[[#This Row],[VERSEMENT]]-Tableau12[[#This Row],[T.LOGICIEL]]</f>
        <v>-23655</v>
      </c>
      <c r="H90" s="248" t="s">
        <v>388</v>
      </c>
    </row>
    <row r="91" spans="1:8" ht="36" customHeight="1">
      <c r="A91" s="209">
        <v>46004</v>
      </c>
      <c r="B91" s="208" t="s">
        <v>325</v>
      </c>
      <c r="C91" s="210">
        <v>115490</v>
      </c>
      <c r="D91" s="211">
        <v>82667</v>
      </c>
      <c r="E91" s="211">
        <f>82670-1770</f>
        <v>80900</v>
      </c>
      <c r="F91" s="211"/>
      <c r="G91" s="211">
        <f>Tableau12[[#This Row],[CHARGE]]+Tableau12[[#This Row],[VERSEMENT]]-Tableau12[[#This Row],[T.LOGICIEL]]</f>
        <v>-1767</v>
      </c>
      <c r="H91" s="217" t="s">
        <v>389</v>
      </c>
    </row>
    <row r="92" spans="1:8" ht="36.6" customHeight="1">
      <c r="A92" s="209">
        <v>46004</v>
      </c>
      <c r="B92" s="208" t="s">
        <v>327</v>
      </c>
      <c r="C92" s="210">
        <v>187848</v>
      </c>
      <c r="D92" s="211">
        <v>176772</v>
      </c>
      <c r="E92" s="211">
        <f>176455</f>
        <v>176455</v>
      </c>
      <c r="F92" s="211">
        <v>300</v>
      </c>
      <c r="G92" s="211">
        <f>Tableau12[[#This Row],[CHARGE]]+Tableau12[[#This Row],[VERSEMENT]]-Tableau12[[#This Row],[T.LOGICIEL]]</f>
        <v>-17</v>
      </c>
      <c r="H92" s="217" t="s">
        <v>390</v>
      </c>
    </row>
    <row r="93" spans="1:8" ht="27" customHeight="1">
      <c r="A93" s="209">
        <v>46004</v>
      </c>
      <c r="B93" s="208" t="s">
        <v>329</v>
      </c>
      <c r="C93" s="210">
        <f>137137-65</f>
        <v>137072</v>
      </c>
      <c r="D93" s="211">
        <v>137072</v>
      </c>
      <c r="E93" s="211">
        <v>137060</v>
      </c>
      <c r="F93" s="211"/>
      <c r="G93" s="211">
        <f>Tableau12[[#This Row],[CHARGE]]+Tableau12[[#This Row],[VERSEMENT]]-Tableau12[[#This Row],[T.LOGICIEL]]</f>
        <v>-12</v>
      </c>
      <c r="H93" s="217"/>
    </row>
    <row r="94" spans="1:8" ht="31.2">
      <c r="A94" s="249">
        <v>46004</v>
      </c>
      <c r="B94" s="250" t="s">
        <v>331</v>
      </c>
      <c r="C94" s="251"/>
      <c r="D94" s="252"/>
      <c r="E94" s="252">
        <f>8000+8050</f>
        <v>16050</v>
      </c>
      <c r="F94" s="252"/>
      <c r="G94" s="252"/>
      <c r="H94" s="248" t="s">
        <v>391</v>
      </c>
    </row>
    <row r="95" spans="1:8" ht="25.95" customHeight="1">
      <c r="A95" s="209">
        <v>46004</v>
      </c>
      <c r="B95" s="208" t="s">
        <v>333</v>
      </c>
      <c r="C95" s="212"/>
      <c r="D95" s="211"/>
      <c r="E95" s="211">
        <f>-6790</f>
        <v>-6790</v>
      </c>
      <c r="F95" s="211"/>
      <c r="G95" s="211"/>
      <c r="H95" s="217" t="s">
        <v>392</v>
      </c>
    </row>
    <row r="96" spans="1:8" ht="26.4" customHeight="1">
      <c r="A96" s="261">
        <v>46004</v>
      </c>
      <c r="B96" s="258" t="s">
        <v>334</v>
      </c>
      <c r="C96" s="259"/>
      <c r="D96" s="260"/>
      <c r="E96" s="260">
        <f>-1000</f>
        <v>-1000</v>
      </c>
      <c r="F96" s="260"/>
      <c r="G96" s="260"/>
      <c r="H96" s="256" t="s">
        <v>393</v>
      </c>
    </row>
    <row r="97" spans="1:8" ht="16.2" thickBot="1">
      <c r="A97" s="209">
        <v>46004</v>
      </c>
      <c r="B97" s="208" t="s">
        <v>176</v>
      </c>
      <c r="C97" s="210"/>
      <c r="D97" s="211"/>
      <c r="E97" s="211"/>
      <c r="F97" s="211"/>
      <c r="G97" s="211"/>
      <c r="H97" s="217"/>
    </row>
    <row r="98" spans="1:8" ht="16.8" thickTop="1" thickBot="1">
      <c r="A98" s="213"/>
      <c r="B98" s="214"/>
      <c r="C98" s="215"/>
      <c r="D98" s="215" t="s">
        <v>125</v>
      </c>
      <c r="E98" s="215">
        <f t="shared" ref="E98:G98" si="2">SUBTOTAL(9,E90:E97)</f>
        <v>571675</v>
      </c>
      <c r="F98" s="215">
        <f t="shared" si="2"/>
        <v>300</v>
      </c>
      <c r="G98" s="215">
        <f t="shared" si="2"/>
        <v>-25451</v>
      </c>
      <c r="H98" s="216"/>
    </row>
    <row r="99" spans="1:8" ht="31.8" thickTop="1">
      <c r="A99" s="234">
        <v>46005</v>
      </c>
      <c r="B99" s="208" t="s">
        <v>59</v>
      </c>
      <c r="C99" s="210">
        <v>0</v>
      </c>
      <c r="D99" s="211">
        <v>153820</v>
      </c>
      <c r="E99" s="211">
        <f>170000</f>
        <v>170000</v>
      </c>
      <c r="F99" s="211"/>
      <c r="G99" s="211">
        <f>Tableau12[[#This Row],[CHARGE]]+Tableau12[[#This Row],[VERSEMENT]]-Tableau12[[#This Row],[T.LOGICIEL]]</f>
        <v>16180</v>
      </c>
      <c r="H99" s="248" t="s">
        <v>394</v>
      </c>
    </row>
    <row r="100" spans="1:8" ht="31.2">
      <c r="A100" s="234">
        <v>46005</v>
      </c>
      <c r="B100" s="208" t="s">
        <v>325</v>
      </c>
      <c r="C100" s="210">
        <f>155856</f>
        <v>155856</v>
      </c>
      <c r="D100" s="211">
        <v>152991</v>
      </c>
      <c r="E100" s="211">
        <f>150990+1750</f>
        <v>152740</v>
      </c>
      <c r="F100" s="211">
        <v>250</v>
      </c>
      <c r="G100" s="211">
        <f>Tableau12[[#This Row],[CHARGE]]+Tableau12[[#This Row],[VERSEMENT]]-Tableau12[[#This Row],[T.LOGICIEL]]</f>
        <v>-1</v>
      </c>
      <c r="H100" s="217" t="s">
        <v>395</v>
      </c>
    </row>
    <row r="101" spans="1:8" ht="21" customHeight="1">
      <c r="A101" s="234">
        <v>46005</v>
      </c>
      <c r="B101" s="208" t="s">
        <v>327</v>
      </c>
      <c r="C101" s="210">
        <f>135200</f>
        <v>135200</v>
      </c>
      <c r="D101" s="211">
        <f>64840</f>
        <v>64840</v>
      </c>
      <c r="E101" s="211">
        <v>62840</v>
      </c>
      <c r="F101" s="211">
        <v>2000</v>
      </c>
      <c r="G101" s="211">
        <f>Tableau12[[#This Row],[CHARGE]]+Tableau12[[#This Row],[VERSEMENT]]-Tableau12[[#This Row],[T.LOGICIEL]]</f>
        <v>0</v>
      </c>
      <c r="H101" s="217" t="s">
        <v>396</v>
      </c>
    </row>
    <row r="102" spans="1:8" ht="21.6" customHeight="1">
      <c r="A102" s="234">
        <v>46005</v>
      </c>
      <c r="B102" s="208" t="s">
        <v>329</v>
      </c>
      <c r="C102" s="210">
        <v>280120</v>
      </c>
      <c r="D102" s="211">
        <v>267930</v>
      </c>
      <c r="E102" s="211">
        <v>266915</v>
      </c>
      <c r="F102" s="211">
        <v>1000</v>
      </c>
      <c r="G102" s="211">
        <f>Tableau12[[#This Row],[CHARGE]]+Tableau12[[#This Row],[VERSEMENT]]-Tableau12[[#This Row],[T.LOGICIEL]]</f>
        <v>-15</v>
      </c>
      <c r="H102" s="217" t="s">
        <v>397</v>
      </c>
    </row>
    <row r="103" spans="1:8" ht="31.2">
      <c r="A103" s="249">
        <v>46005</v>
      </c>
      <c r="B103" s="250" t="s">
        <v>331</v>
      </c>
      <c r="C103" s="251"/>
      <c r="D103" s="252"/>
      <c r="E103" s="252">
        <f>27000</f>
        <v>27000</v>
      </c>
      <c r="F103" s="252"/>
      <c r="G103" s="252"/>
      <c r="H103" s="248" t="s">
        <v>398</v>
      </c>
    </row>
    <row r="104" spans="1:8" ht="15.6">
      <c r="A104" s="234">
        <v>46005</v>
      </c>
      <c r="B104" s="208" t="s">
        <v>333</v>
      </c>
      <c r="C104" s="212"/>
      <c r="D104" s="211"/>
      <c r="E104" s="211">
        <v>0</v>
      </c>
      <c r="F104" s="211"/>
      <c r="G104" s="211"/>
      <c r="H104" s="217"/>
    </row>
    <row r="105" spans="1:8" ht="15.6">
      <c r="A105" s="234">
        <v>46005</v>
      </c>
      <c r="B105" s="208" t="s">
        <v>334</v>
      </c>
      <c r="C105" s="212"/>
      <c r="D105" s="211"/>
      <c r="E105" s="211">
        <v>0</v>
      </c>
      <c r="F105" s="211"/>
      <c r="G105" s="211"/>
      <c r="H105" s="217"/>
    </row>
    <row r="106" spans="1:8" ht="16.2" thickBot="1">
      <c r="A106" s="234">
        <v>46005</v>
      </c>
      <c r="B106" s="208" t="s">
        <v>176</v>
      </c>
      <c r="C106" s="210"/>
      <c r="D106" s="211"/>
      <c r="E106" s="211">
        <f>-150000</f>
        <v>-150000</v>
      </c>
      <c r="F106" s="211"/>
      <c r="G106" s="211"/>
      <c r="H106" s="217" t="s">
        <v>399</v>
      </c>
    </row>
    <row r="107" spans="1:8" ht="16.8" thickTop="1" thickBot="1">
      <c r="A107" s="213"/>
      <c r="B107" s="214"/>
      <c r="C107" s="215"/>
      <c r="D107" s="215" t="s">
        <v>125</v>
      </c>
      <c r="E107" s="215">
        <f t="shared" ref="E107:G107" si="3">SUBTOTAL(9,E99:E106)</f>
        <v>529495</v>
      </c>
      <c r="F107" s="262">
        <f t="shared" si="3"/>
        <v>3250</v>
      </c>
      <c r="G107" s="215">
        <f t="shared" si="3"/>
        <v>16164</v>
      </c>
      <c r="H107" s="216"/>
    </row>
    <row r="108" spans="1:8" ht="16.2" thickTop="1">
      <c r="A108" s="234">
        <v>46006</v>
      </c>
      <c r="B108" s="208" t="s">
        <v>59</v>
      </c>
      <c r="C108" s="210"/>
      <c r="D108" s="211">
        <f>187632</f>
        <v>187632</v>
      </c>
      <c r="E108" s="211">
        <f>187630+7470</f>
        <v>195100</v>
      </c>
      <c r="F108" s="211"/>
      <c r="G108" s="211">
        <f>Tableau12[[#This Row],[CHARGE]]+Tableau12[[#This Row],[VERSEMENT]]-Tableau12[[#This Row],[T.LOGICIEL]]</f>
        <v>7468</v>
      </c>
      <c r="H108" s="248" t="s">
        <v>400</v>
      </c>
    </row>
    <row r="109" spans="1:8" ht="27.6" customHeight="1">
      <c r="A109" s="234">
        <v>46006</v>
      </c>
      <c r="B109" s="208" t="s">
        <v>325</v>
      </c>
      <c r="C109" s="210">
        <v>121732</v>
      </c>
      <c r="D109" s="211">
        <v>110767</v>
      </c>
      <c r="E109" s="211">
        <v>110770</v>
      </c>
      <c r="F109" s="211"/>
      <c r="G109" s="211">
        <f>Tableau12[[#This Row],[CHARGE]]+Tableau12[[#This Row],[VERSEMENT]]-Tableau12[[#This Row],[T.LOGICIEL]]</f>
        <v>3</v>
      </c>
      <c r="H109" s="217" t="s">
        <v>401</v>
      </c>
    </row>
    <row r="110" spans="1:8" ht="62.4">
      <c r="A110" s="234">
        <v>46006</v>
      </c>
      <c r="B110" s="208" t="s">
        <v>327</v>
      </c>
      <c r="C110" s="210">
        <f>167721-200+1935</f>
        <v>169456</v>
      </c>
      <c r="D110" s="211">
        <f>162766+1935</f>
        <v>164701</v>
      </c>
      <c r="E110" s="211">
        <f>162765+1935-550-480-220</f>
        <v>163450</v>
      </c>
      <c r="F110" s="211">
        <f>550</f>
        <v>550</v>
      </c>
      <c r="G110" s="211">
        <f>Tableau12[[#This Row],[CHARGE]]+Tableau12[[#This Row],[VERSEMENT]]-Tableau12[[#This Row],[T.LOGICIEL]]</f>
        <v>-701</v>
      </c>
      <c r="H110" s="217" t="s">
        <v>402</v>
      </c>
    </row>
    <row r="111" spans="1:8" ht="62.4">
      <c r="A111" s="234">
        <v>46006</v>
      </c>
      <c r="B111" s="208" t="s">
        <v>329</v>
      </c>
      <c r="C111" s="210">
        <v>105951</v>
      </c>
      <c r="D111" s="211">
        <f>100156+(73685)</f>
        <v>173841</v>
      </c>
      <c r="E111" s="211">
        <f>100150-1000+(73685)</f>
        <v>172835</v>
      </c>
      <c r="F111" s="211">
        <v>1000</v>
      </c>
      <c r="G111" s="211">
        <f>Tableau12[[#This Row],[CHARGE]]+Tableau12[[#This Row],[VERSEMENT]]-Tableau12[[#This Row],[T.LOGICIEL]]</f>
        <v>-6</v>
      </c>
      <c r="H111" s="217" t="s">
        <v>403</v>
      </c>
    </row>
    <row r="112" spans="1:8" ht="31.2" customHeight="1">
      <c r="A112" s="249">
        <v>46006</v>
      </c>
      <c r="B112" s="250" t="s">
        <v>331</v>
      </c>
      <c r="C112" s="251"/>
      <c r="D112" s="252"/>
      <c r="E112" s="252">
        <f>5000</f>
        <v>5000</v>
      </c>
      <c r="F112" s="252"/>
      <c r="G112" s="252"/>
      <c r="H112" s="248" t="s">
        <v>404</v>
      </c>
    </row>
    <row r="113" spans="1:8" ht="54" customHeight="1">
      <c r="A113" s="234">
        <v>46006</v>
      </c>
      <c r="B113" s="208" t="s">
        <v>333</v>
      </c>
      <c r="C113" s="212"/>
      <c r="D113" s="211"/>
      <c r="E113" s="211">
        <f>-(200+1000+10000)</f>
        <v>-11200</v>
      </c>
      <c r="F113" s="211"/>
      <c r="G113" s="211"/>
      <c r="H113" s="217" t="s">
        <v>405</v>
      </c>
    </row>
    <row r="114" spans="1:8" ht="31.2" customHeight="1">
      <c r="A114" s="257">
        <v>46006</v>
      </c>
      <c r="B114" s="258" t="s">
        <v>334</v>
      </c>
      <c r="C114" s="259"/>
      <c r="D114" s="260"/>
      <c r="E114" s="260">
        <f>-25888</f>
        <v>-25888</v>
      </c>
      <c r="F114" s="260"/>
      <c r="G114" s="260"/>
      <c r="H114" s="256" t="s">
        <v>406</v>
      </c>
    </row>
    <row r="115" spans="1:8" ht="31.8" thickBot="1">
      <c r="A115" s="234">
        <v>46006</v>
      </c>
      <c r="B115" s="208" t="s">
        <v>176</v>
      </c>
      <c r="C115" s="210"/>
      <c r="D115" s="211"/>
      <c r="E115" s="211">
        <f>1750-10000</f>
        <v>-8250</v>
      </c>
      <c r="F115" s="211"/>
      <c r="G115" s="211"/>
      <c r="H115" s="217" t="s">
        <v>407</v>
      </c>
    </row>
    <row r="116" spans="1:8" ht="16.8" thickTop="1" thickBot="1">
      <c r="A116" s="213"/>
      <c r="B116" s="214"/>
      <c r="C116" s="215"/>
      <c r="D116" s="215" t="s">
        <v>125</v>
      </c>
      <c r="E116" s="215">
        <f t="shared" ref="E116:G116" si="4">SUBTOTAL(9,E108:E115)</f>
        <v>601817</v>
      </c>
      <c r="F116" s="215">
        <f t="shared" si="4"/>
        <v>1550</v>
      </c>
      <c r="G116" s="215">
        <f t="shared" si="4"/>
        <v>6764</v>
      </c>
      <c r="H116" s="216"/>
    </row>
    <row r="117" spans="1:8" ht="16.2" thickTop="1">
      <c r="A117" s="234">
        <v>46007</v>
      </c>
      <c r="B117" s="208" t="s">
        <v>59</v>
      </c>
      <c r="C117" s="210"/>
      <c r="D117" s="211">
        <v>204510</v>
      </c>
      <c r="E117" s="211">
        <f>204100</f>
        <v>204100</v>
      </c>
      <c r="F117" s="211"/>
      <c r="G117" s="211">
        <f>Tableau12[[#This Row],[CHARGE]]+Tableau12[[#This Row],[VERSEMENT]]-Tableau12[[#This Row],[T.LOGICIEL]]</f>
        <v>-410</v>
      </c>
      <c r="H117" s="248" t="s">
        <v>408</v>
      </c>
    </row>
    <row r="118" spans="1:8" ht="31.2">
      <c r="A118" s="234">
        <v>46007</v>
      </c>
      <c r="B118" s="208" t="s">
        <v>325</v>
      </c>
      <c r="C118" s="210">
        <v>107026</v>
      </c>
      <c r="D118" s="211">
        <f>105406</f>
        <v>105406</v>
      </c>
      <c r="E118" s="211">
        <f>105405+10050</f>
        <v>115455</v>
      </c>
      <c r="F118" s="211"/>
      <c r="G118" s="211">
        <f>Tableau12[[#This Row],[CHARGE]]+Tableau12[[#This Row],[VERSEMENT]]-Tableau12[[#This Row],[T.LOGICIEL]]</f>
        <v>10049</v>
      </c>
      <c r="H118" s="217" t="s">
        <v>409</v>
      </c>
    </row>
    <row r="119" spans="1:8" ht="93.6">
      <c r="A119" s="234">
        <v>46007</v>
      </c>
      <c r="B119" s="208" t="s">
        <v>327</v>
      </c>
      <c r="C119" s="210">
        <v>176041</v>
      </c>
      <c r="D119" s="211">
        <v>154446</v>
      </c>
      <c r="E119" s="211">
        <f>154446+46000</f>
        <v>200446</v>
      </c>
      <c r="F119" s="211"/>
      <c r="G119" s="211">
        <f>Tableau12[[#This Row],[CHARGE]]+Tableau12[[#This Row],[VERSEMENT]]-Tableau12[[#This Row],[T.LOGICIEL]]</f>
        <v>46000</v>
      </c>
      <c r="H119" s="217" t="s">
        <v>410</v>
      </c>
    </row>
    <row r="120" spans="1:8" ht="15.6">
      <c r="A120" s="234">
        <v>46007</v>
      </c>
      <c r="B120" s="208" t="s">
        <v>329</v>
      </c>
      <c r="C120" s="210">
        <f>79290</f>
        <v>79290</v>
      </c>
      <c r="D120" s="211">
        <v>83315</v>
      </c>
      <c r="E120" s="211">
        <f>82315</f>
        <v>82315</v>
      </c>
      <c r="F120" s="211">
        <v>1000</v>
      </c>
      <c r="G120" s="211">
        <f>Tableau12[[#This Row],[CHARGE]]+Tableau12[[#This Row],[VERSEMENT]]-Tableau12[[#This Row],[T.LOGICIEL]]</f>
        <v>0</v>
      </c>
      <c r="H120" s="217" t="s">
        <v>411</v>
      </c>
    </row>
    <row r="121" spans="1:8" ht="15.6">
      <c r="A121" s="234">
        <v>46007</v>
      </c>
      <c r="B121" s="236" t="s">
        <v>331</v>
      </c>
      <c r="C121" s="237"/>
      <c r="D121" s="238"/>
      <c r="E121" s="238">
        <v>0</v>
      </c>
      <c r="F121" s="238"/>
      <c r="G121" s="238"/>
      <c r="H121" s="239"/>
    </row>
    <row r="122" spans="1:8" ht="15.6">
      <c r="A122" s="234">
        <v>46007</v>
      </c>
      <c r="B122" s="208" t="s">
        <v>333</v>
      </c>
      <c r="C122" s="212"/>
      <c r="D122" s="211"/>
      <c r="E122" s="211">
        <v>0</v>
      </c>
      <c r="F122" s="211"/>
      <c r="G122" s="211"/>
      <c r="H122" s="217"/>
    </row>
    <row r="123" spans="1:8" ht="22.95" customHeight="1">
      <c r="A123" s="257">
        <v>46007</v>
      </c>
      <c r="B123" s="258" t="s">
        <v>334</v>
      </c>
      <c r="C123" s="259"/>
      <c r="D123" s="260"/>
      <c r="E123" s="260">
        <f>-850</f>
        <v>-850</v>
      </c>
      <c r="F123" s="260"/>
      <c r="G123" s="260"/>
      <c r="H123" s="256" t="s">
        <v>412</v>
      </c>
    </row>
    <row r="124" spans="1:8" ht="31.8" thickBot="1">
      <c r="A124" s="234">
        <v>46007</v>
      </c>
      <c r="B124" s="208" t="s">
        <v>176</v>
      </c>
      <c r="C124" s="210"/>
      <c r="D124" s="211"/>
      <c r="E124" s="211">
        <f>-(500+1500)</f>
        <v>-2000</v>
      </c>
      <c r="F124" s="211"/>
      <c r="G124" s="211"/>
      <c r="H124" s="217" t="s">
        <v>413</v>
      </c>
    </row>
    <row r="125" spans="1:8" ht="16.8" thickTop="1" thickBot="1">
      <c r="A125" s="213"/>
      <c r="B125" s="214"/>
      <c r="C125" s="215"/>
      <c r="D125" s="215" t="s">
        <v>125</v>
      </c>
      <c r="E125" s="215">
        <f t="shared" ref="E125:G125" si="5">SUBTOTAL(9,E117:E124)</f>
        <v>599466</v>
      </c>
      <c r="F125" s="215">
        <f t="shared" si="5"/>
        <v>1000</v>
      </c>
      <c r="G125" s="215">
        <f t="shared" si="5"/>
        <v>55639</v>
      </c>
      <c r="H125" s="216"/>
    </row>
    <row r="126" spans="1:8" ht="16.2" thickTop="1">
      <c r="A126" s="234">
        <v>46008</v>
      </c>
      <c r="B126" s="208" t="s">
        <v>59</v>
      </c>
      <c r="C126" s="210"/>
      <c r="D126" s="211">
        <v>154530</v>
      </c>
      <c r="E126" s="211">
        <f>154530+400</f>
        <v>154930</v>
      </c>
      <c r="F126" s="211"/>
      <c r="G126" s="211">
        <f>Tableau12[[#This Row],[CHARGE]]+Tableau12[[#This Row],[VERSEMENT]]-Tableau12[[#This Row],[T.LOGICIEL]]</f>
        <v>400</v>
      </c>
      <c r="H126" s="248" t="s">
        <v>414</v>
      </c>
    </row>
    <row r="127" spans="1:8" ht="15.6">
      <c r="A127" s="234">
        <v>46008</v>
      </c>
      <c r="B127" s="208" t="s">
        <v>325</v>
      </c>
      <c r="C127" s="210">
        <f>85422+2100</f>
        <v>87522</v>
      </c>
      <c r="D127" s="211">
        <f>85422+2100</f>
        <v>87522</v>
      </c>
      <c r="E127" s="211">
        <f>85410+2100</f>
        <v>87510</v>
      </c>
      <c r="F127" s="211"/>
      <c r="G127" s="211">
        <f>Tableau12[[#This Row],[CHARGE]]+Tableau12[[#This Row],[VERSEMENT]]-Tableau12[[#This Row],[T.LOGICIEL]]</f>
        <v>-12</v>
      </c>
      <c r="H127" s="217"/>
    </row>
    <row r="128" spans="1:8" ht="15.6">
      <c r="A128" s="234">
        <v>46008</v>
      </c>
      <c r="B128" s="208" t="s">
        <v>327</v>
      </c>
      <c r="C128" s="210">
        <v>172507</v>
      </c>
      <c r="D128" s="211">
        <f>170449</f>
        <v>170449</v>
      </c>
      <c r="E128" s="211">
        <f>170449</f>
        <v>170449</v>
      </c>
      <c r="F128" s="211"/>
      <c r="G128" s="211">
        <f>Tableau12[[#This Row],[CHARGE]]+Tableau12[[#This Row],[VERSEMENT]]-Tableau12[[#This Row],[T.LOGICIEL]]</f>
        <v>0</v>
      </c>
      <c r="H128" s="217"/>
    </row>
    <row r="129" spans="1:8" ht="15.6">
      <c r="A129" s="234">
        <v>46008</v>
      </c>
      <c r="B129" s="208" t="s">
        <v>329</v>
      </c>
      <c r="C129" s="210">
        <v>107780</v>
      </c>
      <c r="D129" s="211">
        <v>104780</v>
      </c>
      <c r="E129" s="211">
        <v>104710</v>
      </c>
      <c r="F129" s="211"/>
      <c r="G129" s="211">
        <f>Tableau12[[#This Row],[CHARGE]]+Tableau12[[#This Row],[VERSEMENT]]-Tableau12[[#This Row],[T.LOGICIEL]]</f>
        <v>-70</v>
      </c>
      <c r="H129" s="217" t="s">
        <v>415</v>
      </c>
    </row>
    <row r="130" spans="1:8" ht="46.8">
      <c r="A130" s="249">
        <v>46008</v>
      </c>
      <c r="B130" s="250" t="s">
        <v>331</v>
      </c>
      <c r="C130" s="251"/>
      <c r="D130" s="252"/>
      <c r="E130" s="250">
        <f>3000+20809+2000</f>
        <v>25809</v>
      </c>
      <c r="F130" s="252"/>
      <c r="G130" s="252"/>
      <c r="H130" s="248" t="s">
        <v>416</v>
      </c>
    </row>
    <row r="131" spans="1:8" ht="15.6">
      <c r="A131" s="234">
        <v>46008</v>
      </c>
      <c r="B131" s="208" t="s">
        <v>333</v>
      </c>
      <c r="C131" s="212"/>
      <c r="D131" s="211"/>
      <c r="E131" s="211">
        <v>0</v>
      </c>
      <c r="F131" s="211"/>
      <c r="G131" s="211"/>
      <c r="H131" s="217"/>
    </row>
    <row r="132" spans="1:8" ht="15.6">
      <c r="A132" s="257">
        <v>46008</v>
      </c>
      <c r="B132" s="258" t="s">
        <v>334</v>
      </c>
      <c r="C132" s="259"/>
      <c r="D132" s="260"/>
      <c r="E132" s="260">
        <f>-15723</f>
        <v>-15723</v>
      </c>
      <c r="F132" s="260"/>
      <c r="G132" s="260"/>
      <c r="H132" s="256" t="s">
        <v>417</v>
      </c>
    </row>
    <row r="133" spans="1:8" ht="31.8" thickBot="1">
      <c r="A133" s="234">
        <v>46008</v>
      </c>
      <c r="B133" s="208" t="s">
        <v>176</v>
      </c>
      <c r="C133" s="210"/>
      <c r="D133" s="211"/>
      <c r="E133" s="211">
        <f>-1700+400</f>
        <v>-1300</v>
      </c>
      <c r="F133" s="211">
        <f>1700</f>
        <v>1700</v>
      </c>
      <c r="G133" s="211"/>
      <c r="H133" s="217" t="s">
        <v>418</v>
      </c>
    </row>
    <row r="134" spans="1:8" ht="16.8" thickTop="1" thickBot="1">
      <c r="A134" s="213"/>
      <c r="B134" s="214"/>
      <c r="C134" s="215"/>
      <c r="D134" s="215" t="s">
        <v>125</v>
      </c>
      <c r="E134" s="215">
        <f t="shared" ref="E134:G134" si="6">SUBTOTAL(9,E126:E133)</f>
        <v>526385</v>
      </c>
      <c r="F134" s="215">
        <f t="shared" si="6"/>
        <v>1700</v>
      </c>
      <c r="G134" s="215">
        <f t="shared" si="6"/>
        <v>318</v>
      </c>
      <c r="H134" s="216"/>
    </row>
    <row r="135" spans="1:8" ht="16.2" thickTop="1">
      <c r="A135" s="234">
        <v>46009</v>
      </c>
      <c r="B135" s="208" t="s">
        <v>59</v>
      </c>
      <c r="C135" s="210"/>
      <c r="D135" s="211">
        <v>227506</v>
      </c>
      <c r="E135" s="211">
        <v>227506</v>
      </c>
      <c r="F135" s="211"/>
      <c r="G135" s="211">
        <f>Tableau12[[#This Row],[CHARGE]]+Tableau12[[#This Row],[VERSEMENT]]-Tableau12[[#This Row],[T.LOGICIEL]]</f>
        <v>0</v>
      </c>
      <c r="H135" s="239" t="s">
        <v>419</v>
      </c>
    </row>
    <row r="136" spans="1:8" ht="46.8">
      <c r="A136" s="234">
        <v>46009</v>
      </c>
      <c r="B136" s="208" t="s">
        <v>325</v>
      </c>
      <c r="C136" s="210">
        <v>147670</v>
      </c>
      <c r="D136" s="211">
        <v>146980</v>
      </c>
      <c r="E136" s="211">
        <v>146980</v>
      </c>
      <c r="F136" s="211"/>
      <c r="G136" s="211">
        <f>Tableau12[[#This Row],[CHARGE]]+Tableau12[[#This Row],[VERSEMENT]]-Tableau12[[#This Row],[T.LOGICIEL]]</f>
        <v>0</v>
      </c>
      <c r="H136" s="217" t="s">
        <v>420</v>
      </c>
    </row>
    <row r="137" spans="1:8" ht="15.6">
      <c r="A137" s="234">
        <v>46009</v>
      </c>
      <c r="B137" s="208" t="s">
        <v>327</v>
      </c>
      <c r="C137" s="210">
        <v>173610</v>
      </c>
      <c r="D137" s="211">
        <v>173610</v>
      </c>
      <c r="E137" s="211">
        <f>173610</f>
        <v>173610</v>
      </c>
      <c r="F137" s="211"/>
      <c r="G137" s="211">
        <f>Tableau12[[#This Row],[CHARGE]]+Tableau12[[#This Row],[VERSEMENT]]-Tableau12[[#This Row],[T.LOGICIEL]]</f>
        <v>0</v>
      </c>
      <c r="H137" s="217"/>
    </row>
    <row r="138" spans="1:8" ht="15.6">
      <c r="A138" s="234">
        <v>46009</v>
      </c>
      <c r="B138" s="208" t="s">
        <v>329</v>
      </c>
      <c r="C138" s="210">
        <v>242900</v>
      </c>
      <c r="D138" s="211">
        <f>242900</f>
        <v>242900</v>
      </c>
      <c r="E138" s="238">
        <f>171195+71675</f>
        <v>242870</v>
      </c>
      <c r="F138" s="211"/>
      <c r="G138" s="211">
        <f>Tableau12[[#This Row],[CHARGE]]+Tableau12[[#This Row],[VERSEMENT]]-Tableau12[[#This Row],[T.LOGICIEL]]</f>
        <v>-30</v>
      </c>
      <c r="H138" s="217"/>
    </row>
    <row r="139" spans="1:8" ht="15.6">
      <c r="A139" s="249">
        <v>46009</v>
      </c>
      <c r="B139" s="250" t="s">
        <v>331</v>
      </c>
      <c r="C139" s="251"/>
      <c r="D139" s="252"/>
      <c r="E139" s="252">
        <f>3330</f>
        <v>3330</v>
      </c>
      <c r="F139" s="252"/>
      <c r="G139" s="252"/>
      <c r="H139" s="248" t="s">
        <v>421</v>
      </c>
    </row>
    <row r="140" spans="1:8" ht="31.2">
      <c r="A140" s="234">
        <v>46009</v>
      </c>
      <c r="B140" s="208" t="s">
        <v>333</v>
      </c>
      <c r="C140" s="212"/>
      <c r="D140" s="211"/>
      <c r="E140" s="211">
        <f>-(4000+13600)</f>
        <v>-17600</v>
      </c>
      <c r="F140" s="211"/>
      <c r="G140" s="211"/>
      <c r="H140" s="217" t="s">
        <v>422</v>
      </c>
    </row>
    <row r="141" spans="1:8" ht="15.6">
      <c r="A141" s="234">
        <v>46009</v>
      </c>
      <c r="B141" s="208" t="s">
        <v>334</v>
      </c>
      <c r="C141" s="212"/>
      <c r="D141" s="211"/>
      <c r="E141" s="211">
        <v>0</v>
      </c>
      <c r="F141" s="211"/>
      <c r="G141" s="211"/>
      <c r="H141" s="217"/>
    </row>
    <row r="142" spans="1:8" ht="31.8" thickBot="1">
      <c r="A142" s="234">
        <v>46009</v>
      </c>
      <c r="B142" s="208" t="s">
        <v>176</v>
      </c>
      <c r="C142" s="210"/>
      <c r="D142" s="211"/>
      <c r="E142" s="211">
        <f>-(4200+2000)</f>
        <v>-6200</v>
      </c>
      <c r="F142" s="211">
        <f>4200+2000</f>
        <v>6200</v>
      </c>
      <c r="G142" s="211"/>
      <c r="H142" s="217" t="s">
        <v>423</v>
      </c>
    </row>
    <row r="143" spans="1:8" ht="16.8" thickTop="1" thickBot="1">
      <c r="A143" s="213"/>
      <c r="B143" s="214"/>
      <c r="C143" s="215"/>
      <c r="D143" s="215" t="s">
        <v>125</v>
      </c>
      <c r="E143" s="215">
        <f t="shared" ref="E143:G143" si="7">SUBTOTAL(9,E135:E142)</f>
        <v>770496</v>
      </c>
      <c r="F143" s="215">
        <f t="shared" si="7"/>
        <v>6200</v>
      </c>
      <c r="G143" s="215">
        <f t="shared" si="7"/>
        <v>-30</v>
      </c>
      <c r="H143" s="216"/>
    </row>
    <row r="144" spans="1:8" ht="16.2" thickTop="1">
      <c r="A144" s="234">
        <v>46011</v>
      </c>
      <c r="B144" s="208" t="s">
        <v>59</v>
      </c>
      <c r="C144" s="210"/>
      <c r="D144" s="211">
        <f>234455</f>
        <v>234455</v>
      </c>
      <c r="E144" s="211">
        <v>234455</v>
      </c>
      <c r="F144" s="211"/>
      <c r="G144" s="211">
        <f>Tableau12[[#This Row],[CHARGE]]+Tableau12[[#This Row],[VERSEMENT]]-Tableau12[[#This Row],[T.LOGICIEL]]</f>
        <v>0</v>
      </c>
      <c r="H144" s="239"/>
    </row>
    <row r="145" spans="1:8" ht="15.6">
      <c r="A145" s="234">
        <v>46011</v>
      </c>
      <c r="B145" s="208" t="s">
        <v>325</v>
      </c>
      <c r="C145" s="210">
        <f>167578+2025</f>
        <v>169603</v>
      </c>
      <c r="D145" s="211">
        <v>169203</v>
      </c>
      <c r="E145" s="211">
        <f>169200</f>
        <v>169200</v>
      </c>
      <c r="F145" s="211"/>
      <c r="G145" s="211">
        <f>Tableau12[[#This Row],[CHARGE]]+Tableau12[[#This Row],[VERSEMENT]]-Tableau12[[#This Row],[T.LOGICIEL]]</f>
        <v>-3</v>
      </c>
      <c r="H145" s="217" t="s">
        <v>424</v>
      </c>
    </row>
    <row r="146" spans="1:8" ht="31.2">
      <c r="A146" s="234">
        <v>46011</v>
      </c>
      <c r="B146" s="208" t="s">
        <v>327</v>
      </c>
      <c r="C146" s="210">
        <v>172108</v>
      </c>
      <c r="D146" s="211">
        <f>170083</f>
        <v>170083</v>
      </c>
      <c r="E146" s="211">
        <f>170083-300</f>
        <v>169783</v>
      </c>
      <c r="F146" s="211">
        <v>300</v>
      </c>
      <c r="G146" s="211">
        <f>Tableau12[[#This Row],[CHARGE]]+Tableau12[[#This Row],[VERSEMENT]]-Tableau12[[#This Row],[T.LOGICIEL]]</f>
        <v>0</v>
      </c>
      <c r="H146" s="217" t="s">
        <v>425</v>
      </c>
    </row>
    <row r="147" spans="1:8" ht="26.25" customHeight="1">
      <c r="A147" s="234">
        <v>46011</v>
      </c>
      <c r="B147" s="208" t="s">
        <v>329</v>
      </c>
      <c r="C147" s="210">
        <f>121460</f>
        <v>121460</v>
      </c>
      <c r="D147" s="211">
        <v>121460</v>
      </c>
      <c r="E147" s="238">
        <v>120400</v>
      </c>
      <c r="F147" s="211">
        <v>1000</v>
      </c>
      <c r="G147" s="211">
        <f>Tableau12[[#This Row],[CHARGE]]+Tableau12[[#This Row],[VERSEMENT]]-Tableau12[[#This Row],[T.LOGICIEL]]</f>
        <v>-60</v>
      </c>
      <c r="H147" s="217" t="s">
        <v>426</v>
      </c>
    </row>
    <row r="148" spans="1:8" ht="60" customHeight="1">
      <c r="A148" s="249">
        <v>46011</v>
      </c>
      <c r="B148" s="250" t="s">
        <v>331</v>
      </c>
      <c r="C148" s="251"/>
      <c r="D148" s="252"/>
      <c r="E148" s="252">
        <f>26325+1000</f>
        <v>27325</v>
      </c>
      <c r="F148" s="252"/>
      <c r="G148" s="252"/>
      <c r="H148" s="248" t="s">
        <v>427</v>
      </c>
    </row>
    <row r="149" spans="1:8" ht="15.6">
      <c r="A149" s="234">
        <v>46011</v>
      </c>
      <c r="B149" s="208" t="s">
        <v>333</v>
      </c>
      <c r="C149" s="212"/>
      <c r="D149" s="211"/>
      <c r="E149" s="211">
        <f>-2000</f>
        <v>-2000</v>
      </c>
      <c r="F149" s="211"/>
      <c r="G149" s="211"/>
      <c r="H149" s="217" t="s">
        <v>428</v>
      </c>
    </row>
    <row r="150" spans="1:8" ht="15.6">
      <c r="A150" s="242">
        <v>46011</v>
      </c>
      <c r="B150" s="236" t="s">
        <v>334</v>
      </c>
      <c r="C150" s="237"/>
      <c r="D150" s="238"/>
      <c r="E150" s="238">
        <v>0</v>
      </c>
      <c r="F150" s="238"/>
      <c r="G150" s="238"/>
      <c r="H150" s="239"/>
    </row>
    <row r="151" spans="1:8" ht="16.2" thickBot="1">
      <c r="A151" s="234">
        <v>46011</v>
      </c>
      <c r="B151" s="208" t="s">
        <v>176</v>
      </c>
      <c r="C151" s="210"/>
      <c r="D151" s="211"/>
      <c r="E151" s="211"/>
      <c r="F151" s="211"/>
      <c r="G151" s="211"/>
      <c r="H151" s="217"/>
    </row>
    <row r="152" spans="1:8" ht="16.8" thickTop="1" thickBot="1">
      <c r="A152" s="213"/>
      <c r="B152" s="270"/>
      <c r="C152" s="215"/>
      <c r="D152" s="215" t="s">
        <v>125</v>
      </c>
      <c r="E152" s="215">
        <f t="shared" ref="E152:G152" si="8">SUBTOTAL(9,E144:E151)</f>
        <v>719163</v>
      </c>
      <c r="F152" s="215">
        <f t="shared" si="8"/>
        <v>1300</v>
      </c>
      <c r="G152" s="215">
        <f t="shared" si="8"/>
        <v>-63</v>
      </c>
      <c r="H152" s="216"/>
    </row>
    <row r="153" spans="1:8" ht="16.2" thickTop="1">
      <c r="A153" s="234">
        <v>46012</v>
      </c>
      <c r="B153" s="208" t="s">
        <v>59</v>
      </c>
      <c r="C153" s="210"/>
      <c r="D153" s="211">
        <f>225166</f>
        <v>225166</v>
      </c>
      <c r="E153" s="211">
        <v>225960</v>
      </c>
      <c r="F153" s="211"/>
      <c r="G153" s="211">
        <f>Tableau12[[#This Row],[CHARGE]]+Tableau12[[#This Row],[VERSEMENT]]-Tableau12[[#This Row],[T.LOGICIEL]]</f>
        <v>794</v>
      </c>
      <c r="H153" s="239" t="s">
        <v>429</v>
      </c>
    </row>
    <row r="154" spans="1:8" ht="46.8">
      <c r="A154" s="234">
        <v>46012</v>
      </c>
      <c r="B154" s="208" t="s">
        <v>325</v>
      </c>
      <c r="C154" s="210">
        <v>176330</v>
      </c>
      <c r="D154" s="211">
        <f>163100</f>
        <v>163100</v>
      </c>
      <c r="E154" s="211">
        <f>163100</f>
        <v>163100</v>
      </c>
      <c r="F154" s="211"/>
      <c r="G154" s="211">
        <f>Tableau12[[#This Row],[CHARGE]]+Tableau12[[#This Row],[VERSEMENT]]-Tableau12[[#This Row],[T.LOGICIEL]]</f>
        <v>0</v>
      </c>
      <c r="H154" s="217" t="s">
        <v>430</v>
      </c>
    </row>
    <row r="155" spans="1:8" ht="46.8">
      <c r="A155" s="234">
        <v>46012</v>
      </c>
      <c r="B155" s="208" t="s">
        <v>327</v>
      </c>
      <c r="C155" s="210">
        <v>64055</v>
      </c>
      <c r="D155" s="211">
        <f>78220+63610+9600</f>
        <v>151430</v>
      </c>
      <c r="E155" s="211">
        <f>63610+57220+9600</f>
        <v>130430</v>
      </c>
      <c r="F155" s="211">
        <f>20000+1000</f>
        <v>21000</v>
      </c>
      <c r="G155" s="211">
        <f>Tableau12[[#This Row],[CHARGE]]+Tableau12[[#This Row],[VERSEMENT]]-Tableau12[[#This Row],[T.LOGICIEL]]</f>
        <v>0</v>
      </c>
      <c r="H155" s="217" t="s">
        <v>431</v>
      </c>
    </row>
    <row r="156" spans="1:8" ht="109.2">
      <c r="A156" s="234">
        <v>46012</v>
      </c>
      <c r="B156" s="208" t="s">
        <v>329</v>
      </c>
      <c r="C156" s="210">
        <v>127327</v>
      </c>
      <c r="D156" s="211">
        <f>102281</f>
        <v>102281</v>
      </c>
      <c r="E156" s="238">
        <f>104040-5770</f>
        <v>98270</v>
      </c>
      <c r="F156" s="211">
        <f>600+850+1700+150+700</f>
        <v>4000</v>
      </c>
      <c r="G156" s="211">
        <f>Tableau12[[#This Row],[CHARGE]]+Tableau12[[#This Row],[VERSEMENT]]-Tableau12[[#This Row],[T.LOGICIEL]]</f>
        <v>-11</v>
      </c>
      <c r="H156" s="217" t="s">
        <v>432</v>
      </c>
    </row>
    <row r="157" spans="1:8" ht="15.6">
      <c r="A157" s="249">
        <v>46012</v>
      </c>
      <c r="B157" s="250" t="s">
        <v>331</v>
      </c>
      <c r="C157" s="251"/>
      <c r="D157" s="252"/>
      <c r="E157" s="252">
        <v>5770</v>
      </c>
      <c r="F157" s="252"/>
      <c r="G157" s="252"/>
      <c r="H157" s="248" t="s">
        <v>433</v>
      </c>
    </row>
    <row r="158" spans="1:8" ht="15.6">
      <c r="A158" s="234">
        <v>46012</v>
      </c>
      <c r="B158" s="208" t="s">
        <v>333</v>
      </c>
      <c r="C158" s="212"/>
      <c r="D158" s="211"/>
      <c r="E158" s="211">
        <v>0</v>
      </c>
      <c r="F158" s="211"/>
      <c r="G158" s="211"/>
      <c r="H158" s="217"/>
    </row>
    <row r="159" spans="1:8" ht="15.6">
      <c r="A159" s="257">
        <v>46012</v>
      </c>
      <c r="B159" s="258" t="s">
        <v>334</v>
      </c>
      <c r="C159" s="259"/>
      <c r="D159" s="260"/>
      <c r="E159" s="260">
        <f>-9600</f>
        <v>-9600</v>
      </c>
      <c r="F159" s="260"/>
      <c r="G159" s="260"/>
      <c r="H159" s="256" t="s">
        <v>434</v>
      </c>
    </row>
    <row r="160" spans="1:8" ht="16.2" thickBot="1">
      <c r="A160" s="234">
        <v>46012</v>
      </c>
      <c r="B160" s="208" t="s">
        <v>176</v>
      </c>
      <c r="C160" s="210"/>
      <c r="D160" s="211"/>
      <c r="E160" s="211">
        <v>0</v>
      </c>
      <c r="F160" s="211"/>
      <c r="G160" s="211"/>
      <c r="H160" s="217"/>
    </row>
    <row r="161" spans="1:8" ht="16.8" thickTop="1" thickBot="1">
      <c r="A161" s="213"/>
      <c r="B161" s="214"/>
      <c r="C161" s="215"/>
      <c r="D161" s="215" t="s">
        <v>125</v>
      </c>
      <c r="E161" s="215">
        <f t="shared" ref="E161:G161" si="9">SUBTOTAL(9,E153:E160)</f>
        <v>613930</v>
      </c>
      <c r="F161" s="215">
        <f t="shared" si="9"/>
        <v>25000</v>
      </c>
      <c r="G161" s="215">
        <f t="shared" si="9"/>
        <v>783</v>
      </c>
      <c r="H161" s="216"/>
    </row>
    <row r="162" spans="1:8" ht="16.2" thickTop="1">
      <c r="A162" s="234">
        <v>46013</v>
      </c>
      <c r="B162" s="208" t="s">
        <v>59</v>
      </c>
      <c r="C162" s="210"/>
      <c r="D162" s="211">
        <v>189672</v>
      </c>
      <c r="E162" s="211">
        <f>188890</f>
        <v>188890</v>
      </c>
      <c r="F162" s="211"/>
      <c r="G162" s="211">
        <f>Tableau12[[#This Row],[CHARGE]]+Tableau12[[#This Row],[VERSEMENT]]-Tableau12[[#This Row],[T.LOGICIEL]]</f>
        <v>-782</v>
      </c>
      <c r="H162" s="239"/>
    </row>
    <row r="163" spans="1:8" ht="46.8">
      <c r="A163" s="234">
        <v>46013</v>
      </c>
      <c r="B163" s="208" t="s">
        <v>325</v>
      </c>
      <c r="C163" s="210">
        <v>127098</v>
      </c>
      <c r="D163" s="211">
        <f>118863</f>
        <v>118863</v>
      </c>
      <c r="E163" s="211">
        <f>118860</f>
        <v>118860</v>
      </c>
      <c r="F163" s="211"/>
      <c r="G163" s="211">
        <f>Tableau12[[#This Row],[CHARGE]]+Tableau12[[#This Row],[VERSEMENT]]-Tableau12[[#This Row],[T.LOGICIEL]]</f>
        <v>-3</v>
      </c>
      <c r="H163" s="217" t="s">
        <v>435</v>
      </c>
    </row>
    <row r="164" spans="1:8" ht="46.8">
      <c r="A164" s="234">
        <v>46013</v>
      </c>
      <c r="B164" s="208" t="s">
        <v>327</v>
      </c>
      <c r="C164" s="210">
        <v>142478</v>
      </c>
      <c r="D164" s="211">
        <v>141628</v>
      </c>
      <c r="E164" s="211">
        <f>141628-145</f>
        <v>141483</v>
      </c>
      <c r="F164" s="211"/>
      <c r="G164" s="211">
        <f>Tableau12[[#This Row],[CHARGE]]+Tableau12[[#This Row],[VERSEMENT]]-Tableau12[[#This Row],[T.LOGICIEL]]</f>
        <v>-145</v>
      </c>
      <c r="H164" s="217" t="s">
        <v>436</v>
      </c>
    </row>
    <row r="165" spans="1:8" ht="15.6">
      <c r="A165" s="234">
        <v>46013</v>
      </c>
      <c r="B165" s="208" t="s">
        <v>329</v>
      </c>
      <c r="C165" s="210">
        <v>46891</v>
      </c>
      <c r="D165" s="211">
        <v>46891</v>
      </c>
      <c r="E165" s="238">
        <f>45890</f>
        <v>45890</v>
      </c>
      <c r="F165" s="211">
        <v>1000</v>
      </c>
      <c r="G165" s="211">
        <f>Tableau12[[#This Row],[CHARGE]]+Tableau12[[#This Row],[VERSEMENT]]-Tableau12[[#This Row],[T.LOGICIEL]]</f>
        <v>-1</v>
      </c>
      <c r="H165" s="217" t="s">
        <v>384</v>
      </c>
    </row>
    <row r="166" spans="1:8" ht="15.6">
      <c r="A166" s="234">
        <v>46013</v>
      </c>
      <c r="B166" s="236" t="s">
        <v>331</v>
      </c>
      <c r="C166" s="237"/>
      <c r="D166" s="238"/>
      <c r="E166" s="238">
        <v>0</v>
      </c>
      <c r="F166" s="238"/>
      <c r="G166" s="238"/>
      <c r="H166" s="239"/>
    </row>
    <row r="167" spans="1:8" ht="15.6">
      <c r="A167" s="234">
        <v>46013</v>
      </c>
      <c r="B167" s="208" t="s">
        <v>333</v>
      </c>
      <c r="C167" s="212"/>
      <c r="D167" s="211"/>
      <c r="E167" s="211">
        <f>-2000</f>
        <v>-2000</v>
      </c>
      <c r="F167" s="211"/>
      <c r="G167" s="211"/>
      <c r="H167" s="217" t="s">
        <v>437</v>
      </c>
    </row>
    <row r="168" spans="1:8" ht="31.2">
      <c r="A168" s="234">
        <v>46013</v>
      </c>
      <c r="B168" s="258" t="s">
        <v>334</v>
      </c>
      <c r="C168" s="259"/>
      <c r="D168" s="260"/>
      <c r="E168" s="260">
        <f>-(29830+15436)</f>
        <v>-45266</v>
      </c>
      <c r="F168" s="260"/>
      <c r="G168" s="260"/>
      <c r="H168" s="256" t="s">
        <v>438</v>
      </c>
    </row>
    <row r="169" spans="1:8" ht="16.2" thickBot="1">
      <c r="A169" s="234">
        <v>46013</v>
      </c>
      <c r="B169" s="208" t="s">
        <v>176</v>
      </c>
      <c r="C169" s="210"/>
      <c r="D169" s="211"/>
      <c r="E169" s="211">
        <f>-1500</f>
        <v>-1500</v>
      </c>
      <c r="F169" s="211">
        <v>1500</v>
      </c>
      <c r="G169" s="211"/>
      <c r="H169" s="217" t="s">
        <v>439</v>
      </c>
    </row>
    <row r="170" spans="1:8" ht="16.8" thickTop="1" thickBot="1">
      <c r="A170" s="213"/>
      <c r="B170" s="214"/>
      <c r="C170" s="215">
        <f>Tableau12[[#This Row],[VERSEMENT]]-E162+D171+2000+(1000+1500)+29830+15435</f>
        <v>480702</v>
      </c>
      <c r="D170" s="215" t="s">
        <v>125</v>
      </c>
      <c r="E170" s="215">
        <f t="shared" ref="E170:G170" si="10">SUBTOTAL(9,E162:E169)</f>
        <v>446357</v>
      </c>
      <c r="F170" s="215">
        <f t="shared" si="10"/>
        <v>2500</v>
      </c>
      <c r="G170" s="215">
        <f t="shared" si="10"/>
        <v>-931</v>
      </c>
      <c r="H170" s="216"/>
    </row>
    <row r="171" spans="1:8" ht="16.2" thickTop="1">
      <c r="A171" s="234">
        <v>46014</v>
      </c>
      <c r="B171" s="208" t="s">
        <v>59</v>
      </c>
      <c r="C171" s="210"/>
      <c r="D171" s="211">
        <v>173470</v>
      </c>
      <c r="E171" s="211">
        <f>100000+26000+30000+7000+470</f>
        <v>163470</v>
      </c>
      <c r="F171" s="211"/>
      <c r="G171" s="211">
        <f>Tableau12[[#This Row],[CHARGE]]+Tableau12[[#This Row],[VERSEMENT]]-Tableau12[[#This Row],[T.LOGICIEL]]</f>
        <v>-10000</v>
      </c>
      <c r="H171" s="248" t="s">
        <v>440</v>
      </c>
    </row>
    <row r="172" spans="1:8" ht="46.8">
      <c r="A172" s="234">
        <v>46014</v>
      </c>
      <c r="B172" s="208" t="s">
        <v>325</v>
      </c>
      <c r="C172" s="210">
        <v>123310</v>
      </c>
      <c r="D172" s="211">
        <f>114715</f>
        <v>114715</v>
      </c>
      <c r="E172" s="211">
        <f>114720</f>
        <v>114720</v>
      </c>
      <c r="F172" s="211"/>
      <c r="G172" s="211">
        <f>Tableau12[[#This Row],[CHARGE]]+Tableau12[[#This Row],[VERSEMENT]]-Tableau12[[#This Row],[T.LOGICIEL]]</f>
        <v>5</v>
      </c>
      <c r="H172" s="217" t="s">
        <v>441</v>
      </c>
    </row>
    <row r="173" spans="1:8" ht="46.8">
      <c r="A173" s="234">
        <v>46014</v>
      </c>
      <c r="B173" s="208" t="s">
        <v>327</v>
      </c>
      <c r="C173" s="210">
        <v>208597</v>
      </c>
      <c r="D173" s="211">
        <v>185428</v>
      </c>
      <c r="E173" s="211">
        <f>185235</f>
        <v>185235</v>
      </c>
      <c r="F173" s="211"/>
      <c r="G173" s="211">
        <f>Tableau12[[#This Row],[CHARGE]]+Tableau12[[#This Row],[VERSEMENT]]-Tableau12[[#This Row],[T.LOGICIEL]]</f>
        <v>-193</v>
      </c>
      <c r="H173" s="217" t="s">
        <v>442</v>
      </c>
    </row>
    <row r="174" spans="1:8" ht="15.6">
      <c r="A174" s="234">
        <v>46014</v>
      </c>
      <c r="B174" s="208" t="s">
        <v>329</v>
      </c>
      <c r="C174" s="210">
        <v>91370</v>
      </c>
      <c r="D174" s="211">
        <v>91370</v>
      </c>
      <c r="E174" s="238">
        <f>91345</f>
        <v>91345</v>
      </c>
      <c r="F174" s="211"/>
      <c r="G174" s="211">
        <f>Tableau12[[#This Row],[CHARGE]]+Tableau12[[#This Row],[VERSEMENT]]-Tableau12[[#This Row],[T.LOGICIEL]]</f>
        <v>-25</v>
      </c>
      <c r="H174" s="217"/>
    </row>
    <row r="175" spans="1:8" ht="15.6">
      <c r="A175" s="234">
        <v>46014</v>
      </c>
      <c r="B175" s="250" t="s">
        <v>331</v>
      </c>
      <c r="C175" s="251"/>
      <c r="D175" s="252"/>
      <c r="E175" s="252">
        <f>15435</f>
        <v>15435</v>
      </c>
      <c r="F175" s="252"/>
      <c r="G175" s="252"/>
      <c r="H175" s="248" t="s">
        <v>443</v>
      </c>
    </row>
    <row r="176" spans="1:8" ht="15.6">
      <c r="A176" s="234">
        <v>46014</v>
      </c>
      <c r="B176" s="208" t="s">
        <v>333</v>
      </c>
      <c r="C176" s="212"/>
      <c r="D176" s="211"/>
      <c r="E176" s="211">
        <f>-1000</f>
        <v>-1000</v>
      </c>
      <c r="F176" s="211"/>
      <c r="G176" s="211"/>
      <c r="H176" s="217" t="s">
        <v>444</v>
      </c>
    </row>
    <row r="177" spans="1:8" ht="15.6">
      <c r="A177" s="234">
        <v>46014</v>
      </c>
      <c r="B177" s="208" t="s">
        <v>334</v>
      </c>
      <c r="C177" s="212"/>
      <c r="D177" s="211"/>
      <c r="E177" s="211"/>
      <c r="F177" s="211"/>
      <c r="G177" s="211"/>
      <c r="H177" s="217"/>
    </row>
    <row r="178" spans="1:8" ht="16.2" thickBot="1">
      <c r="A178" s="234">
        <v>46014</v>
      </c>
      <c r="B178" s="208" t="s">
        <v>176</v>
      </c>
      <c r="C178" s="210"/>
      <c r="D178" s="211"/>
      <c r="E178" s="211"/>
      <c r="F178" s="211">
        <f>14000</f>
        <v>14000</v>
      </c>
      <c r="G178" s="211"/>
      <c r="H178" s="217" t="s">
        <v>445</v>
      </c>
    </row>
    <row r="179" spans="1:8" ht="16.8" thickTop="1" thickBot="1">
      <c r="A179" s="213"/>
      <c r="B179" s="214"/>
      <c r="C179" s="215"/>
      <c r="D179" s="215" t="s">
        <v>125</v>
      </c>
      <c r="E179" s="215">
        <f t="shared" ref="E179:G179" si="11">SUBTOTAL(9,E171:E178)</f>
        <v>569205</v>
      </c>
      <c r="F179" s="215">
        <f t="shared" si="11"/>
        <v>14000</v>
      </c>
      <c r="G179" s="215">
        <f t="shared" si="11"/>
        <v>-10213</v>
      </c>
      <c r="H179" s="216"/>
    </row>
    <row r="180" spans="1:8" ht="31.8" thickTop="1">
      <c r="A180" s="234">
        <v>46015</v>
      </c>
      <c r="B180" s="208" t="s">
        <v>59</v>
      </c>
      <c r="C180" s="210"/>
      <c r="D180" s="211">
        <f>176117</f>
        <v>176117</v>
      </c>
      <c r="E180" s="211">
        <f>100000+47000+20000+1000+115+10000</f>
        <v>178115</v>
      </c>
      <c r="F180" s="211">
        <v>8000</v>
      </c>
      <c r="G180" s="211">
        <f>Tableau12[[#This Row],[CHARGE]]+Tableau12[[#This Row],[VERSEMENT]]-Tableau12[[#This Row],[T.LOGICIEL]]</f>
        <v>9998</v>
      </c>
      <c r="H180" s="248" t="s">
        <v>446</v>
      </c>
    </row>
    <row r="181" spans="1:8" ht="15.6">
      <c r="A181" s="234">
        <v>46015</v>
      </c>
      <c r="B181" s="208" t="s">
        <v>325</v>
      </c>
      <c r="C181" s="210">
        <v>112203</v>
      </c>
      <c r="D181" s="211">
        <v>112203</v>
      </c>
      <c r="E181" s="211">
        <v>112190</v>
      </c>
      <c r="F181" s="211"/>
      <c r="G181" s="211">
        <f>Tableau12[[#This Row],[CHARGE]]+Tableau12[[#This Row],[VERSEMENT]]-Tableau12[[#This Row],[T.LOGICIEL]]</f>
        <v>-13</v>
      </c>
      <c r="H181" s="217"/>
    </row>
    <row r="182" spans="1:8" ht="15.6">
      <c r="A182" s="234">
        <v>46015</v>
      </c>
      <c r="B182" s="208" t="s">
        <v>327</v>
      </c>
      <c r="C182" s="210">
        <v>123155</v>
      </c>
      <c r="D182" s="211">
        <f>117680</f>
        <v>117680</v>
      </c>
      <c r="E182" s="211">
        <f>117680</f>
        <v>117680</v>
      </c>
      <c r="F182" s="211"/>
      <c r="G182" s="211">
        <f>Tableau12[[#This Row],[CHARGE]]+Tableau12[[#This Row],[VERSEMENT]]-Tableau12[[#This Row],[T.LOGICIEL]]</f>
        <v>0</v>
      </c>
      <c r="H182" s="217" t="s">
        <v>447</v>
      </c>
    </row>
    <row r="183" spans="1:8" ht="46.8">
      <c r="A183" s="234">
        <v>46015</v>
      </c>
      <c r="B183" s="208" t="s">
        <v>329</v>
      </c>
      <c r="C183" s="210">
        <v>103702</v>
      </c>
      <c r="D183" s="211">
        <f>101662</f>
        <v>101662</v>
      </c>
      <c r="E183" s="238">
        <f>100910</f>
        <v>100910</v>
      </c>
      <c r="F183" s="211">
        <f>500</f>
        <v>500</v>
      </c>
      <c r="G183" s="211">
        <f>Tableau12[[#This Row],[CHARGE]]+Tableau12[[#This Row],[VERSEMENT]]-Tableau12[[#This Row],[T.LOGICIEL]]</f>
        <v>-252</v>
      </c>
      <c r="H183" s="217" t="s">
        <v>448</v>
      </c>
    </row>
    <row r="184" spans="1:8" ht="15.6">
      <c r="A184" s="234">
        <v>46015</v>
      </c>
      <c r="B184" s="250" t="s">
        <v>331</v>
      </c>
      <c r="C184" s="251"/>
      <c r="D184" s="252"/>
      <c r="E184" s="252">
        <f>23415</f>
        <v>23415</v>
      </c>
      <c r="F184" s="252"/>
      <c r="G184" s="252"/>
      <c r="H184" s="248" t="s">
        <v>449</v>
      </c>
    </row>
    <row r="185" spans="1:8" ht="15.6">
      <c r="A185" s="234">
        <v>46015</v>
      </c>
      <c r="B185" s="208" t="s">
        <v>333</v>
      </c>
      <c r="C185" s="212"/>
      <c r="D185" s="211"/>
      <c r="E185" s="211">
        <v>0</v>
      </c>
      <c r="F185" s="211"/>
      <c r="G185" s="211"/>
      <c r="H185" s="217"/>
    </row>
    <row r="186" spans="1:8" ht="15.6">
      <c r="A186" s="234">
        <v>46015</v>
      </c>
      <c r="B186" s="208" t="s">
        <v>334</v>
      </c>
      <c r="C186" s="212"/>
      <c r="D186" s="211"/>
      <c r="E186" s="211">
        <v>0</v>
      </c>
      <c r="F186" s="211"/>
      <c r="G186" s="211"/>
      <c r="H186" s="217"/>
    </row>
    <row r="187" spans="1:8" ht="16.2" thickBot="1">
      <c r="A187" s="234">
        <v>46015</v>
      </c>
      <c r="B187" s="208" t="s">
        <v>176</v>
      </c>
      <c r="C187" s="210"/>
      <c r="D187" s="211"/>
      <c r="E187" s="211">
        <f>-18000</f>
        <v>-18000</v>
      </c>
      <c r="F187" s="211"/>
      <c r="G187" s="211"/>
      <c r="H187" s="217" t="s">
        <v>450</v>
      </c>
    </row>
    <row r="188" spans="1:8" ht="16.8" thickTop="1" thickBot="1">
      <c r="A188" s="213"/>
      <c r="B188" s="270"/>
      <c r="C188" s="215"/>
      <c r="D188" s="215" t="s">
        <v>125</v>
      </c>
      <c r="E188" s="215">
        <f t="shared" ref="E188:G188" si="12">SUBTOTAL(9,E180:E187)</f>
        <v>514310</v>
      </c>
      <c r="F188" s="215">
        <f t="shared" si="12"/>
        <v>8500</v>
      </c>
      <c r="G188" s="215">
        <f t="shared" si="12"/>
        <v>9733</v>
      </c>
      <c r="H188" s="216"/>
    </row>
    <row r="189" spans="1:8" ht="16.2" thickTop="1">
      <c r="A189" s="234">
        <v>46016</v>
      </c>
      <c r="B189" s="208" t="s">
        <v>59</v>
      </c>
      <c r="C189" s="210"/>
      <c r="D189" s="211">
        <v>170946</v>
      </c>
      <c r="E189" s="211">
        <f>170940</f>
        <v>170940</v>
      </c>
      <c r="F189" s="211"/>
      <c r="G189" s="211">
        <f>Tableau12[[#This Row],[CHARGE]]+Tableau12[[#This Row],[VERSEMENT]]-Tableau12[[#This Row],[T.LOGICIEL]]</f>
        <v>-6</v>
      </c>
      <c r="H189" s="239"/>
    </row>
    <row r="190" spans="1:8" ht="46.8">
      <c r="A190" s="234">
        <v>46016</v>
      </c>
      <c r="B190" s="208" t="s">
        <v>325</v>
      </c>
      <c r="C190" s="210">
        <v>134967</v>
      </c>
      <c r="D190" s="211">
        <v>124557</v>
      </c>
      <c r="E190" s="211">
        <v>124045</v>
      </c>
      <c r="F190" s="211">
        <v>500</v>
      </c>
      <c r="G190" s="211">
        <f>Tableau12[[#This Row],[CHARGE]]+Tableau12[[#This Row],[VERSEMENT]]-Tableau12[[#This Row],[T.LOGICIEL]]</f>
        <v>-12</v>
      </c>
      <c r="H190" s="217" t="s">
        <v>451</v>
      </c>
    </row>
    <row r="191" spans="1:8" ht="31.2">
      <c r="A191" s="234">
        <v>46016</v>
      </c>
      <c r="B191" s="208" t="s">
        <v>327</v>
      </c>
      <c r="C191" s="210">
        <f>360190+59400</f>
        <v>419590</v>
      </c>
      <c r="D191" s="211">
        <f>357520+59400</f>
        <v>416920</v>
      </c>
      <c r="E191" s="211">
        <f>357520+59400-1000-500</f>
        <v>415420</v>
      </c>
      <c r="F191" s="211">
        <v>1500</v>
      </c>
      <c r="G191" s="211">
        <f>Tableau12[[#This Row],[CHARGE]]+Tableau12[[#This Row],[VERSEMENT]]-Tableau12[[#This Row],[T.LOGICIEL]]</f>
        <v>0</v>
      </c>
      <c r="H191" s="217" t="s">
        <v>452</v>
      </c>
    </row>
    <row r="192" spans="1:8" ht="15.6">
      <c r="A192" s="234">
        <v>46016</v>
      </c>
      <c r="B192" s="208" t="s">
        <v>329</v>
      </c>
      <c r="C192" s="210">
        <v>232980</v>
      </c>
      <c r="D192" s="211">
        <v>232980</v>
      </c>
      <c r="E192" s="238">
        <f>232980-1000</f>
        <v>231980</v>
      </c>
      <c r="F192" s="211">
        <v>1000</v>
      </c>
      <c r="G192" s="211">
        <f>Tableau12[[#This Row],[CHARGE]]+Tableau12[[#This Row],[VERSEMENT]]-Tableau12[[#This Row],[T.LOGICIEL]]</f>
        <v>0</v>
      </c>
      <c r="H192" s="217" t="s">
        <v>278</v>
      </c>
    </row>
    <row r="193" spans="1:8" ht="15.6">
      <c r="A193" s="234">
        <v>46016</v>
      </c>
      <c r="B193" s="250" t="s">
        <v>331</v>
      </c>
      <c r="C193" s="251"/>
      <c r="D193" s="252"/>
      <c r="E193" s="252">
        <f>15560</f>
        <v>15560</v>
      </c>
      <c r="F193" s="252"/>
      <c r="G193" s="252"/>
      <c r="H193" s="248" t="s">
        <v>453</v>
      </c>
    </row>
    <row r="194" spans="1:8" ht="15.6">
      <c r="A194" s="234">
        <v>46016</v>
      </c>
      <c r="B194" s="208" t="s">
        <v>333</v>
      </c>
      <c r="C194" s="212"/>
      <c r="D194" s="211"/>
      <c r="E194" s="211">
        <f>-500</f>
        <v>-500</v>
      </c>
      <c r="F194" s="211"/>
      <c r="G194" s="211"/>
      <c r="H194" s="217" t="s">
        <v>454</v>
      </c>
    </row>
    <row r="195" spans="1:8" ht="15.6">
      <c r="A195" s="234">
        <v>46016</v>
      </c>
      <c r="B195" s="208" t="s">
        <v>334</v>
      </c>
      <c r="C195" s="212"/>
      <c r="D195" s="211"/>
      <c r="E195" s="211">
        <v>0</v>
      </c>
      <c r="F195" s="211"/>
      <c r="G195" s="211"/>
      <c r="H195" s="217"/>
    </row>
    <row r="196" spans="1:8" ht="16.2" thickBot="1">
      <c r="A196" s="234">
        <v>46016</v>
      </c>
      <c r="B196" s="208" t="s">
        <v>176</v>
      </c>
      <c r="C196" s="210"/>
      <c r="D196" s="211"/>
      <c r="E196" s="211">
        <v>0</v>
      </c>
      <c r="F196" s="211"/>
      <c r="G196" s="211"/>
      <c r="H196" s="217" t="s">
        <v>455</v>
      </c>
    </row>
    <row r="197" spans="1:8" ht="16.8" thickTop="1" thickBot="1">
      <c r="A197" s="213"/>
      <c r="B197" s="214"/>
      <c r="C197" s="215"/>
      <c r="D197" s="215" t="s">
        <v>125</v>
      </c>
      <c r="E197" s="215">
        <f t="shared" ref="E197:G197" si="13">SUBTOTAL(9,E189:E196)</f>
        <v>957445</v>
      </c>
      <c r="F197" s="215">
        <f t="shared" si="13"/>
        <v>3000</v>
      </c>
      <c r="G197" s="215">
        <f t="shared" si="13"/>
        <v>-18</v>
      </c>
      <c r="H197" s="216"/>
    </row>
    <row r="198" spans="1:8" ht="16.2" thickTop="1">
      <c r="A198" s="234">
        <v>46018</v>
      </c>
      <c r="B198" s="208" t="s">
        <v>59</v>
      </c>
      <c r="C198" s="210"/>
      <c r="D198" s="211">
        <f>225039</f>
        <v>225039</v>
      </c>
      <c r="E198" s="211">
        <v>0</v>
      </c>
      <c r="F198" s="211"/>
      <c r="G198" s="211">
        <f>Tableau12[[#This Row],[CHARGE]]+Tableau12[[#This Row],[VERSEMENT]]-Tableau12[[#This Row],[T.LOGICIEL]]</f>
        <v>-225039</v>
      </c>
      <c r="H198" s="239"/>
    </row>
    <row r="199" spans="1:8" ht="21.6" customHeight="1">
      <c r="A199" s="234">
        <v>46018</v>
      </c>
      <c r="B199" s="208" t="s">
        <v>325</v>
      </c>
      <c r="C199" s="210">
        <v>127425</v>
      </c>
      <c r="D199" s="211">
        <f>127425</f>
        <v>127425</v>
      </c>
      <c r="E199" s="211">
        <f>124425+3000</f>
        <v>127425</v>
      </c>
      <c r="F199" s="211"/>
      <c r="G199" s="211">
        <f>Tableau12[[#This Row],[CHARGE]]+Tableau12[[#This Row],[VERSEMENT]]-Tableau12[[#This Row],[T.LOGICIEL]]</f>
        <v>0</v>
      </c>
      <c r="H199" s="217"/>
    </row>
    <row r="200" spans="1:8" ht="46.8">
      <c r="A200" s="234">
        <v>46018</v>
      </c>
      <c r="B200" s="208" t="s">
        <v>327</v>
      </c>
      <c r="C200" s="210">
        <v>295807</v>
      </c>
      <c r="D200" s="211">
        <v>295297</v>
      </c>
      <c r="E200" s="211">
        <f>293290+1000</f>
        <v>294290</v>
      </c>
      <c r="F200" s="211">
        <f>300+300</f>
        <v>600</v>
      </c>
      <c r="G200" s="211">
        <f>Tableau12[[#This Row],[CHARGE]]+Tableau12[[#This Row],[VERSEMENT]]-Tableau12[[#This Row],[T.LOGICIEL]]</f>
        <v>-407</v>
      </c>
      <c r="H200" s="217" t="s">
        <v>456</v>
      </c>
    </row>
    <row r="201" spans="1:8" ht="21.6" customHeight="1">
      <c r="A201" s="234">
        <v>46018</v>
      </c>
      <c r="B201" s="208" t="s">
        <v>329</v>
      </c>
      <c r="C201" s="210">
        <v>99681</v>
      </c>
      <c r="D201" s="211">
        <v>99681</v>
      </c>
      <c r="E201" s="238">
        <v>99660</v>
      </c>
      <c r="F201" s="211"/>
      <c r="G201" s="211">
        <f>Tableau12[[#This Row],[CHARGE]]+Tableau12[[#This Row],[VERSEMENT]]-Tableau12[[#This Row],[T.LOGICIEL]]</f>
        <v>-21</v>
      </c>
      <c r="H201" s="217"/>
    </row>
    <row r="202" spans="1:8" ht="15.6">
      <c r="A202" s="234">
        <v>46018</v>
      </c>
      <c r="B202" s="236" t="s">
        <v>331</v>
      </c>
      <c r="C202" s="237"/>
      <c r="D202" s="238"/>
      <c r="E202" s="238">
        <v>10000</v>
      </c>
      <c r="F202" s="238"/>
      <c r="G202" s="238"/>
      <c r="H202" s="239" t="s">
        <v>457</v>
      </c>
    </row>
    <row r="203" spans="1:8" ht="22.95" customHeight="1">
      <c r="A203" s="234">
        <v>46018</v>
      </c>
      <c r="B203" s="208" t="s">
        <v>333</v>
      </c>
      <c r="C203" s="212"/>
      <c r="D203" s="211"/>
      <c r="E203" s="211">
        <f>-1000</f>
        <v>-1000</v>
      </c>
      <c r="F203" s="211"/>
      <c r="G203" s="211"/>
      <c r="H203" s="217" t="s">
        <v>458</v>
      </c>
    </row>
    <row r="204" spans="1:8" ht="22.2" customHeight="1">
      <c r="A204" s="234">
        <v>46018</v>
      </c>
      <c r="B204" s="258" t="s">
        <v>334</v>
      </c>
      <c r="C204" s="259"/>
      <c r="D204" s="260"/>
      <c r="E204" s="260">
        <f>-3000</f>
        <v>-3000</v>
      </c>
      <c r="F204" s="260"/>
      <c r="G204" s="260"/>
      <c r="H204" s="256" t="s">
        <v>459</v>
      </c>
    </row>
    <row r="205" spans="1:8" ht="16.2" thickBot="1">
      <c r="A205" s="234">
        <v>46018</v>
      </c>
      <c r="B205" s="208" t="s">
        <v>176</v>
      </c>
      <c r="C205" s="210"/>
      <c r="D205" s="211"/>
      <c r="E205" s="211">
        <v>0</v>
      </c>
      <c r="F205" s="211"/>
      <c r="G205" s="211"/>
      <c r="H205" s="217"/>
    </row>
    <row r="206" spans="1:8" ht="16.8" thickTop="1" thickBot="1">
      <c r="A206" s="213"/>
      <c r="B206" s="214"/>
      <c r="C206" s="215"/>
      <c r="D206" s="215" t="s">
        <v>125</v>
      </c>
      <c r="E206" s="215">
        <f t="shared" ref="E206:G206" si="14">SUBTOTAL(9,E198:E205)</f>
        <v>527375</v>
      </c>
      <c r="F206" s="215">
        <f t="shared" si="14"/>
        <v>600</v>
      </c>
      <c r="G206" s="215">
        <f t="shared" si="14"/>
        <v>-225467</v>
      </c>
      <c r="H206" s="216"/>
    </row>
    <row r="207" spans="1:8" ht="30.6" customHeight="1" thickTop="1">
      <c r="A207" s="234">
        <v>46019</v>
      </c>
      <c r="B207" s="208" t="s">
        <v>59</v>
      </c>
      <c r="C207" s="210"/>
      <c r="D207" s="211">
        <v>211805</v>
      </c>
      <c r="E207" s="211">
        <f>432075</f>
        <v>432075</v>
      </c>
      <c r="F207" s="211"/>
      <c r="G207" s="211">
        <f>Tableau12[[#This Row],[CHARGE]]+Tableau12[[#This Row],[VERSEMENT]]-Tableau12[[#This Row],[T.LOGICIEL]]</f>
        <v>220270</v>
      </c>
      <c r="H207" s="248" t="s">
        <v>460</v>
      </c>
    </row>
    <row r="208" spans="1:8" ht="46.8">
      <c r="A208" s="234">
        <v>46019</v>
      </c>
      <c r="B208" s="208" t="s">
        <v>325</v>
      </c>
      <c r="C208" s="210">
        <v>184576</v>
      </c>
      <c r="D208" s="211">
        <v>180140</v>
      </c>
      <c r="E208" s="211">
        <f>178640+1000</f>
        <v>179640</v>
      </c>
      <c r="F208" s="211">
        <v>500</v>
      </c>
      <c r="G208" s="211">
        <f>Tableau12[[#This Row],[CHARGE]]+Tableau12[[#This Row],[VERSEMENT]]-Tableau12[[#This Row],[T.LOGICIEL]]</f>
        <v>0</v>
      </c>
      <c r="H208" s="217" t="s">
        <v>461</v>
      </c>
    </row>
    <row r="209" spans="1:8" ht="31.2">
      <c r="A209" s="234">
        <v>46019</v>
      </c>
      <c r="B209" s="208" t="s">
        <v>327</v>
      </c>
      <c r="C209" s="210">
        <f>220169+24324+13230+30240</f>
        <v>287963</v>
      </c>
      <c r="D209" s="211">
        <v>202033</v>
      </c>
      <c r="E209" s="211">
        <f>201525</f>
        <v>201525</v>
      </c>
      <c r="F209" s="211">
        <v>500</v>
      </c>
      <c r="G209" s="211">
        <f>Tableau12[[#This Row],[CHARGE]]+Tableau12[[#This Row],[VERSEMENT]]-Tableau12[[#This Row],[T.LOGICIEL]]</f>
        <v>-8</v>
      </c>
      <c r="H209" s="267" t="s">
        <v>462</v>
      </c>
    </row>
    <row r="210" spans="1:8" ht="31.2">
      <c r="A210" s="234">
        <v>46019</v>
      </c>
      <c r="B210" s="208" t="s">
        <v>329</v>
      </c>
      <c r="C210" s="210">
        <v>310454</v>
      </c>
      <c r="D210" s="211">
        <v>304154</v>
      </c>
      <c r="E210" s="238">
        <v>303155</v>
      </c>
      <c r="F210" s="211">
        <v>1000</v>
      </c>
      <c r="G210" s="211">
        <f>Tableau12[[#This Row],[CHARGE]]+Tableau12[[#This Row],[VERSEMENT]]-Tableau12[[#This Row],[T.LOGICIEL]]</f>
        <v>1</v>
      </c>
      <c r="H210" s="267" t="s">
        <v>463</v>
      </c>
    </row>
    <row r="211" spans="1:8" ht="15.6">
      <c r="A211" s="234">
        <v>46019</v>
      </c>
      <c r="B211" s="236" t="s">
        <v>331</v>
      </c>
      <c r="C211" s="237"/>
      <c r="D211" s="238"/>
      <c r="E211" s="238"/>
      <c r="F211" s="238"/>
      <c r="G211" s="238"/>
      <c r="H211" s="239"/>
    </row>
    <row r="212" spans="1:8" ht="15.6">
      <c r="A212" s="234">
        <v>46019</v>
      </c>
      <c r="B212" s="208" t="s">
        <v>333</v>
      </c>
      <c r="C212" s="212"/>
      <c r="D212" s="211"/>
      <c r="E212" s="211">
        <f>-1000</f>
        <v>-1000</v>
      </c>
      <c r="F212" s="211"/>
      <c r="G212" s="211"/>
      <c r="H212" s="217" t="s">
        <v>458</v>
      </c>
    </row>
    <row r="213" spans="1:8" ht="15.6">
      <c r="A213" s="234">
        <v>46019</v>
      </c>
      <c r="B213" s="208" t="s">
        <v>334</v>
      </c>
      <c r="C213" s="212"/>
      <c r="D213" s="211"/>
      <c r="E213" s="211"/>
      <c r="F213" s="211"/>
      <c r="G213" s="211"/>
      <c r="H213" s="217"/>
    </row>
    <row r="214" spans="1:8" ht="16.2" thickBot="1">
      <c r="A214" s="234">
        <v>46019</v>
      </c>
      <c r="B214" s="208" t="s">
        <v>176</v>
      </c>
      <c r="C214" s="210"/>
      <c r="D214" s="211"/>
      <c r="E214" s="211">
        <f>400</f>
        <v>400</v>
      </c>
      <c r="F214" s="211"/>
      <c r="G214" s="211"/>
      <c r="H214" s="217" t="s">
        <v>464</v>
      </c>
    </row>
    <row r="215" spans="1:8" ht="16.8" thickTop="1" thickBot="1">
      <c r="A215" s="213"/>
      <c r="B215" s="214"/>
      <c r="C215" s="215"/>
      <c r="D215" s="215" t="s">
        <v>125</v>
      </c>
      <c r="E215" s="262">
        <f t="shared" ref="E215:G215" si="15">SUBTOTAL(9,E207:E214)</f>
        <v>1115795</v>
      </c>
      <c r="F215" s="215">
        <f t="shared" si="15"/>
        <v>2000</v>
      </c>
      <c r="G215" s="215">
        <f t="shared" si="15"/>
        <v>220263</v>
      </c>
      <c r="H215" s="216"/>
    </row>
    <row r="216" spans="1:8" ht="42.75" customHeight="1" thickTop="1">
      <c r="A216" s="234">
        <v>46020</v>
      </c>
      <c r="B216" s="208" t="s">
        <v>59</v>
      </c>
      <c r="C216" s="210"/>
      <c r="D216" s="211">
        <v>213096</v>
      </c>
      <c r="E216" s="211">
        <f>213100+4500</f>
        <v>217600</v>
      </c>
      <c r="F216" s="211"/>
      <c r="G216" s="211">
        <f>Tableau12[[#This Row],[CHARGE]]+Tableau12[[#This Row],[VERSEMENT]]-Tableau12[[#This Row],[T.LOGICIEL]]</f>
        <v>4504</v>
      </c>
      <c r="H216" s="248" t="s">
        <v>465</v>
      </c>
    </row>
    <row r="217" spans="1:8" ht="31.2">
      <c r="A217" s="234">
        <v>46020</v>
      </c>
      <c r="B217" s="208" t="s">
        <v>325</v>
      </c>
      <c r="C217" s="210">
        <v>149555</v>
      </c>
      <c r="D217" s="211">
        <f>142595</f>
        <v>142595</v>
      </c>
      <c r="E217" s="211">
        <f>142595</f>
        <v>142595</v>
      </c>
      <c r="F217" s="211"/>
      <c r="G217" s="211">
        <f>Tableau12[[#This Row],[CHARGE]]+Tableau12[[#This Row],[VERSEMENT]]-Tableau12[[#This Row],[T.LOGICIEL]]</f>
        <v>0</v>
      </c>
      <c r="H217" s="217" t="s">
        <v>466</v>
      </c>
    </row>
    <row r="218" spans="1:8" ht="31.2">
      <c r="A218" s="234">
        <v>46020</v>
      </c>
      <c r="B218" s="208" t="s">
        <v>327</v>
      </c>
      <c r="C218" s="210">
        <v>130225</v>
      </c>
      <c r="D218" s="211">
        <v>130225</v>
      </c>
      <c r="E218" s="211">
        <f>120785+1600</f>
        <v>122385</v>
      </c>
      <c r="F218" s="211">
        <f>6400+1400</f>
        <v>7800</v>
      </c>
      <c r="G218" s="211">
        <f>Tableau12[[#This Row],[CHARGE]]+Tableau12[[#This Row],[VERSEMENT]]-Tableau12[[#This Row],[T.LOGICIEL]]</f>
        <v>-40</v>
      </c>
      <c r="H218" s="217" t="s">
        <v>467</v>
      </c>
    </row>
    <row r="219" spans="1:8" ht="15.6">
      <c r="A219" s="234">
        <v>46020</v>
      </c>
      <c r="B219" s="208" t="s">
        <v>329</v>
      </c>
      <c r="C219" s="210">
        <v>57214</v>
      </c>
      <c r="D219" s="211">
        <v>57214</v>
      </c>
      <c r="E219" s="238">
        <f>56715</f>
        <v>56715</v>
      </c>
      <c r="F219" s="211">
        <v>500</v>
      </c>
      <c r="G219" s="211">
        <f>Tableau12[[#This Row],[CHARGE]]+Tableau12[[#This Row],[VERSEMENT]]-Tableau12[[#This Row],[T.LOGICIEL]]</f>
        <v>1</v>
      </c>
      <c r="H219" s="217" t="s">
        <v>468</v>
      </c>
    </row>
    <row r="220" spans="1:8" ht="15.6">
      <c r="A220" s="234">
        <v>46020</v>
      </c>
      <c r="B220" s="250" t="s">
        <v>331</v>
      </c>
      <c r="C220" s="251"/>
      <c r="D220" s="252"/>
      <c r="E220" s="252">
        <f>7725</f>
        <v>7725</v>
      </c>
      <c r="F220" s="252"/>
      <c r="G220" s="252"/>
      <c r="H220" s="248" t="s">
        <v>469</v>
      </c>
    </row>
    <row r="221" spans="1:8" ht="15.6">
      <c r="A221" s="234">
        <v>46020</v>
      </c>
      <c r="B221" s="208" t="s">
        <v>333</v>
      </c>
      <c r="C221" s="212"/>
      <c r="D221" s="211"/>
      <c r="E221" s="211">
        <v>0</v>
      </c>
      <c r="F221" s="211"/>
      <c r="G221" s="211"/>
      <c r="H221" s="217"/>
    </row>
    <row r="222" spans="1:8" ht="31.2">
      <c r="A222" s="234">
        <v>46020</v>
      </c>
      <c r="B222" s="258" t="s">
        <v>334</v>
      </c>
      <c r="C222" s="259"/>
      <c r="D222" s="260"/>
      <c r="E222" s="260">
        <f>-(6255+7200)</f>
        <v>-13455</v>
      </c>
      <c r="F222" s="260"/>
      <c r="G222" s="260"/>
      <c r="H222" s="256" t="s">
        <v>470</v>
      </c>
    </row>
    <row r="223" spans="1:8" ht="16.2" thickBot="1">
      <c r="A223" s="234">
        <v>46020</v>
      </c>
      <c r="B223" s="208" t="s">
        <v>176</v>
      </c>
      <c r="C223" s="210"/>
      <c r="D223" s="211">
        <f>94167-16686</f>
        <v>77481</v>
      </c>
      <c r="E223" s="211"/>
      <c r="F223" s="211"/>
      <c r="G223" s="211"/>
      <c r="H223" s="217"/>
    </row>
    <row r="224" spans="1:8" ht="16.8" thickTop="1" thickBot="1">
      <c r="A224" s="213"/>
      <c r="B224" s="269"/>
      <c r="C224" s="215"/>
      <c r="D224" s="215" t="s">
        <v>125</v>
      </c>
      <c r="E224" s="215">
        <f t="shared" ref="E224:G224" si="16">SUBTOTAL(9,E216:E223)</f>
        <v>533565</v>
      </c>
      <c r="F224" s="215">
        <f t="shared" si="16"/>
        <v>8300</v>
      </c>
      <c r="G224" s="215">
        <f t="shared" si="16"/>
        <v>4465</v>
      </c>
      <c r="H224" s="216"/>
    </row>
    <row r="225" spans="1:8" ht="16.2" thickTop="1">
      <c r="A225" s="234">
        <v>46021</v>
      </c>
      <c r="B225" s="208" t="s">
        <v>59</v>
      </c>
      <c r="C225" s="210"/>
      <c r="D225" s="211">
        <v>214637</v>
      </c>
      <c r="E225" s="211">
        <f>214635</f>
        <v>214635</v>
      </c>
      <c r="F225" s="211"/>
      <c r="G225" s="211">
        <f>Tableau12[[#This Row],[CHARGE]]+Tableau12[[#This Row],[VERSEMENT]]-Tableau12[[#This Row],[T.LOGICIEL]]</f>
        <v>-2</v>
      </c>
      <c r="H225" s="239"/>
    </row>
    <row r="226" spans="1:8" ht="46.8">
      <c r="A226" s="234">
        <v>46021</v>
      </c>
      <c r="B226" s="208" t="s">
        <v>325</v>
      </c>
      <c r="C226" s="210">
        <v>135198</v>
      </c>
      <c r="D226" s="211">
        <v>133613</v>
      </c>
      <c r="E226" s="211">
        <f>132615-400</f>
        <v>132215</v>
      </c>
      <c r="F226" s="211">
        <f>1000+400</f>
        <v>1400</v>
      </c>
      <c r="G226" s="211">
        <f>Tableau12[[#This Row],[CHARGE]]+Tableau12[[#This Row],[VERSEMENT]]-Tableau12[[#This Row],[T.LOGICIEL]]</f>
        <v>2</v>
      </c>
      <c r="H226" s="217" t="s">
        <v>471</v>
      </c>
    </row>
    <row r="227" spans="1:8" ht="31.2">
      <c r="A227" s="234">
        <v>46021</v>
      </c>
      <c r="B227" s="208" t="s">
        <v>327</v>
      </c>
      <c r="C227" s="210">
        <v>190198</v>
      </c>
      <c r="D227" s="211">
        <f>158223</f>
        <v>158223</v>
      </c>
      <c r="E227" s="211">
        <f>136945+20235</f>
        <v>157180</v>
      </c>
      <c r="F227" s="211">
        <f>1000</f>
        <v>1000</v>
      </c>
      <c r="G227" s="211">
        <f>Tableau12[[#This Row],[CHARGE]]+Tableau12[[#This Row],[VERSEMENT]]-Tableau12[[#This Row],[T.LOGICIEL]]</f>
        <v>-43</v>
      </c>
      <c r="H227" s="217" t="s">
        <v>472</v>
      </c>
    </row>
    <row r="228" spans="1:8" ht="15.6">
      <c r="A228" s="234">
        <v>46021</v>
      </c>
      <c r="B228" s="208" t="s">
        <v>329</v>
      </c>
      <c r="C228" s="210">
        <v>104126</v>
      </c>
      <c r="D228" s="211">
        <f>104126</f>
        <v>104126</v>
      </c>
      <c r="E228" s="238">
        <f>104126</f>
        <v>104126</v>
      </c>
      <c r="F228" s="211"/>
      <c r="G228" s="211">
        <f>Tableau12[[#This Row],[CHARGE]]+Tableau12[[#This Row],[VERSEMENT]]-Tableau12[[#This Row],[T.LOGICIEL]]</f>
        <v>0</v>
      </c>
      <c r="H228" s="217"/>
    </row>
    <row r="229" spans="1:8" ht="31.2">
      <c r="A229" s="234">
        <v>46021</v>
      </c>
      <c r="B229" s="250" t="s">
        <v>331</v>
      </c>
      <c r="C229" s="251"/>
      <c r="D229" s="252"/>
      <c r="E229" s="252">
        <f>20000+7200</f>
        <v>27200</v>
      </c>
      <c r="F229" s="252"/>
      <c r="G229" s="252"/>
      <c r="H229" s="248" t="s">
        <v>473</v>
      </c>
    </row>
    <row r="230" spans="1:8" ht="15.6">
      <c r="A230" s="234">
        <v>46021</v>
      </c>
      <c r="B230" s="208" t="s">
        <v>333</v>
      </c>
      <c r="C230" s="212"/>
      <c r="D230" s="211"/>
      <c r="E230" s="211"/>
      <c r="F230" s="211"/>
      <c r="G230" s="211"/>
      <c r="H230" s="217"/>
    </row>
    <row r="231" spans="1:8" ht="47.25" customHeight="1">
      <c r="A231" s="234">
        <v>46021</v>
      </c>
      <c r="B231" s="258" t="s">
        <v>334</v>
      </c>
      <c r="C231" s="259"/>
      <c r="D231" s="260"/>
      <c r="E231" s="260">
        <f>-(8266+20235)</f>
        <v>-28501</v>
      </c>
      <c r="F231" s="260"/>
      <c r="G231" s="260"/>
      <c r="H231" s="256" t="s">
        <v>474</v>
      </c>
    </row>
    <row r="232" spans="1:8" ht="72" customHeight="1" thickBot="1">
      <c r="A232" s="234">
        <v>46021</v>
      </c>
      <c r="B232" s="208" t="s">
        <v>176</v>
      </c>
      <c r="C232" s="210"/>
      <c r="D232" s="211"/>
      <c r="E232" s="211">
        <f>1600-22500</f>
        <v>-20900</v>
      </c>
      <c r="F232" s="211">
        <v>12500</v>
      </c>
      <c r="G232" s="211"/>
      <c r="H232" s="217" t="s">
        <v>475</v>
      </c>
    </row>
    <row r="233" spans="1:8" ht="16.8" thickTop="1" thickBot="1">
      <c r="A233" s="213"/>
      <c r="B233" s="214"/>
      <c r="C233" s="215"/>
      <c r="D233" s="215" t="s">
        <v>125</v>
      </c>
      <c r="E233" s="215">
        <f t="shared" ref="E233:G233" si="17">SUBTOTAL(9,E225:E232)</f>
        <v>585955</v>
      </c>
      <c r="F233" s="215">
        <f t="shared" si="17"/>
        <v>14900</v>
      </c>
      <c r="G233" s="215">
        <f t="shared" si="17"/>
        <v>-43</v>
      </c>
      <c r="H233" s="216"/>
    </row>
    <row r="234" spans="1:8" ht="16.2" thickTop="1">
      <c r="A234" s="234">
        <v>46022</v>
      </c>
      <c r="B234" s="208" t="s">
        <v>59</v>
      </c>
      <c r="C234" s="210"/>
      <c r="D234" s="211">
        <v>200610</v>
      </c>
      <c r="E234" s="211">
        <f>200610+600000</f>
        <v>800610</v>
      </c>
      <c r="F234" s="211"/>
      <c r="G234" s="211">
        <f>Tableau12[[#This Row],[CHARGE]]+Tableau12[[#This Row],[VERSEMENT]]-Tableau12[[#This Row],[T.LOGICIEL]]</f>
        <v>600000</v>
      </c>
      <c r="H234" s="239" t="s">
        <v>476</v>
      </c>
    </row>
    <row r="235" spans="1:8" ht="15.6">
      <c r="A235" s="234">
        <v>46022</v>
      </c>
      <c r="B235" s="208" t="s">
        <v>325</v>
      </c>
      <c r="C235" s="210">
        <v>62213</v>
      </c>
      <c r="D235" s="211">
        <v>60313</v>
      </c>
      <c r="E235" s="211">
        <v>60315</v>
      </c>
      <c r="F235" s="211"/>
      <c r="G235" s="211">
        <f>Tableau12[[#This Row],[CHARGE]]+Tableau12[[#This Row],[VERSEMENT]]-Tableau12[[#This Row],[T.LOGICIEL]]</f>
        <v>2</v>
      </c>
      <c r="H235" s="217" t="s">
        <v>477</v>
      </c>
    </row>
    <row r="236" spans="1:8" ht="15.6">
      <c r="A236" s="234">
        <v>46022</v>
      </c>
      <c r="B236" s="208" t="s">
        <v>327</v>
      </c>
      <c r="C236" s="210">
        <v>93710</v>
      </c>
      <c r="D236" s="211">
        <v>92760</v>
      </c>
      <c r="E236" s="211">
        <f>92760</f>
        <v>92760</v>
      </c>
      <c r="F236" s="268"/>
      <c r="G236" s="211">
        <f>Tableau12[[#This Row],[CHARGE]]+Tableau12[[#This Row],[VERSEMENT]]-Tableau12[[#This Row],[T.LOGICIEL]]</f>
        <v>0</v>
      </c>
      <c r="H236" s="217" t="s">
        <v>478</v>
      </c>
    </row>
    <row r="237" spans="1:8" ht="15.6">
      <c r="A237" s="234">
        <v>46022</v>
      </c>
      <c r="B237" s="208" t="s">
        <v>329</v>
      </c>
      <c r="C237" s="210">
        <v>80150</v>
      </c>
      <c r="D237" s="211">
        <v>80150</v>
      </c>
      <c r="E237" s="273">
        <f>79135</f>
        <v>79135</v>
      </c>
      <c r="F237" s="211">
        <v>1000</v>
      </c>
      <c r="G237" s="211">
        <f>Tableau12[[#This Row],[CHARGE]]+Tableau12[[#This Row],[VERSEMENT]]-Tableau12[[#This Row],[T.LOGICIEL]]</f>
        <v>-15</v>
      </c>
      <c r="H237" s="217"/>
    </row>
    <row r="238" spans="1:8" ht="62.4">
      <c r="A238" s="234">
        <v>46022</v>
      </c>
      <c r="B238" s="250" t="s">
        <v>331</v>
      </c>
      <c r="C238" s="251"/>
      <c r="D238" s="252"/>
      <c r="E238" s="252">
        <f>20235+4440+15725+18535</f>
        <v>58935</v>
      </c>
      <c r="F238" s="252"/>
      <c r="G238" s="252"/>
      <c r="H238" s="248" t="s">
        <v>479</v>
      </c>
    </row>
    <row r="239" spans="1:8" ht="187.2" customHeight="1">
      <c r="A239" s="234">
        <v>46022</v>
      </c>
      <c r="B239" s="208" t="s">
        <v>333</v>
      </c>
      <c r="C239" s="212"/>
      <c r="D239" s="211"/>
      <c r="E239" s="238">
        <f>-(1000+2500+2000+20000+5000+(2000+1600+5000)+(2500+2000+20000))</f>
        <v>-63600</v>
      </c>
      <c r="F239" s="211"/>
      <c r="G239" s="211"/>
      <c r="H239" s="217" t="s">
        <v>495</v>
      </c>
    </row>
    <row r="240" spans="1:8" ht="15.6">
      <c r="A240" s="234">
        <v>46022</v>
      </c>
      <c r="B240" s="208" t="s">
        <v>334</v>
      </c>
      <c r="C240" s="212"/>
      <c r="D240" s="211"/>
      <c r="E240" s="238"/>
      <c r="F240" s="211"/>
      <c r="G240" s="211"/>
      <c r="H240" s="217"/>
    </row>
    <row r="241" spans="1:8" ht="16.2" thickBot="1">
      <c r="A241" s="234">
        <v>46022</v>
      </c>
      <c r="B241" s="208" t="s">
        <v>176</v>
      </c>
      <c r="C241" s="210"/>
      <c r="D241" s="211"/>
      <c r="E241" s="211"/>
      <c r="F241" s="211"/>
      <c r="G241" s="211"/>
      <c r="H241" s="217"/>
    </row>
    <row r="242" spans="1:8" ht="16.8" thickTop="1" thickBot="1">
      <c r="A242" s="213"/>
      <c r="B242" s="214"/>
      <c r="C242" s="215"/>
      <c r="D242" s="215" t="s">
        <v>125</v>
      </c>
      <c r="E242" s="262">
        <f t="shared" ref="E242:G242" si="18">SUBTOTAL(9,E234:E241)</f>
        <v>1028155</v>
      </c>
      <c r="F242" s="215">
        <f t="shared" si="18"/>
        <v>1000</v>
      </c>
      <c r="G242" s="215">
        <f t="shared" si="18"/>
        <v>599987</v>
      </c>
      <c r="H242" s="216"/>
    </row>
    <row r="243" spans="1:8" ht="16.2" thickTop="1">
      <c r="A243" s="263" t="s">
        <v>9</v>
      </c>
      <c r="B243" s="264"/>
      <c r="C243" s="265"/>
      <c r="D243" s="265"/>
      <c r="E243" s="265">
        <f>SUBTOTAL(109,Tableau12[VERSEMENT])</f>
        <v>18021707</v>
      </c>
      <c r="F243" s="265">
        <f>SUBTOTAL(109,Tableau12[CHARGE])</f>
        <v>126000</v>
      </c>
      <c r="G243" s="265">
        <f>SUBTOTAL(109,Tableau12[DIFF])</f>
        <v>596305</v>
      </c>
      <c r="H243" s="266"/>
    </row>
    <row r="246" spans="1:8">
      <c r="A246" s="207"/>
      <c r="B246" s="207"/>
      <c r="C246" s="207"/>
      <c r="D246" s="95"/>
      <c r="E246" s="207"/>
      <c r="F246" s="207"/>
      <c r="G246" s="207"/>
      <c r="H246" s="207"/>
    </row>
    <row r="248" spans="1:8">
      <c r="A248" s="207"/>
      <c r="B248" s="207"/>
      <c r="C248" s="207"/>
      <c r="D248" s="95"/>
      <c r="E248" s="207"/>
      <c r="F248" s="207"/>
      <c r="G248" s="207"/>
      <c r="H248" s="207"/>
    </row>
    <row r="249" spans="1:8">
      <c r="A249" s="207"/>
      <c r="B249" s="207"/>
      <c r="C249" s="207"/>
      <c r="D249" s="207"/>
      <c r="E249" s="151"/>
      <c r="F249" s="207"/>
      <c r="G249" s="207"/>
      <c r="H249" s="207"/>
    </row>
    <row r="250" spans="1:8">
      <c r="A250" s="207"/>
      <c r="B250" s="207"/>
      <c r="C250" s="207"/>
      <c r="D250" s="207"/>
      <c r="E250" s="207"/>
      <c r="F250" s="207"/>
      <c r="G250" s="207"/>
      <c r="H250" s="207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opLeftCell="A76" workbookViewId="0">
      <selection activeCell="F74" sqref="F74"/>
    </sheetView>
  </sheetViews>
  <sheetFormatPr baseColWidth="10" defaultColWidth="11.3984375" defaultRowHeight="13.8"/>
  <cols>
    <col min="1" max="1" width="29.3984375" customWidth="1"/>
    <col min="2" max="2" width="16.796875" customWidth="1"/>
    <col min="3" max="4" width="15.3984375" customWidth="1"/>
    <col min="5" max="5" width="12.796875" customWidth="1"/>
    <col min="6" max="6" width="15.3984375" customWidth="1"/>
  </cols>
  <sheetData>
    <row r="1" spans="1:6" ht="21">
      <c r="A1" s="207"/>
      <c r="B1" s="207"/>
      <c r="C1" s="207"/>
      <c r="D1" s="207"/>
      <c r="E1" s="276" t="s">
        <v>480</v>
      </c>
      <c r="F1" s="276"/>
    </row>
    <row r="3" spans="1:6" ht="15.6">
      <c r="A3" s="253" t="s">
        <v>111</v>
      </c>
      <c r="B3" s="218" t="s">
        <v>481</v>
      </c>
      <c r="C3" s="218"/>
      <c r="D3" s="218"/>
      <c r="E3" s="218"/>
      <c r="F3" s="218"/>
    </row>
    <row r="4" spans="1:6" ht="15.6">
      <c r="A4" s="218"/>
      <c r="B4" s="218"/>
      <c r="C4" s="218"/>
      <c r="D4" s="218"/>
      <c r="E4" s="218"/>
      <c r="F4" s="218"/>
    </row>
    <row r="5" spans="1:6" ht="15.6">
      <c r="A5" s="253" t="s">
        <v>482</v>
      </c>
      <c r="B5" s="218" t="s">
        <v>483</v>
      </c>
      <c r="C5" s="218" t="s">
        <v>484</v>
      </c>
      <c r="D5" s="218" t="s">
        <v>485</v>
      </c>
      <c r="E5" s="218" t="s">
        <v>486</v>
      </c>
      <c r="F5" s="218" t="s">
        <v>487</v>
      </c>
    </row>
    <row r="6" spans="1:6" ht="15.6">
      <c r="A6" s="254" t="s">
        <v>122</v>
      </c>
      <c r="B6" s="255">
        <v>3668711</v>
      </c>
      <c r="C6" s="255">
        <v>-72001</v>
      </c>
      <c r="D6" s="255">
        <v>71240</v>
      </c>
      <c r="E6" s="255">
        <v>3811952</v>
      </c>
      <c r="F6" s="255">
        <v>3947306</v>
      </c>
    </row>
    <row r="7" spans="1:6" ht="15.6">
      <c r="A7" s="254" t="s">
        <v>124</v>
      </c>
      <c r="B7" s="255">
        <v>3668826</v>
      </c>
      <c r="C7" s="255">
        <v>-22342</v>
      </c>
      <c r="D7" s="255">
        <v>42500</v>
      </c>
      <c r="E7" s="255">
        <v>3733668</v>
      </c>
      <c r="F7" s="255">
        <v>3690307</v>
      </c>
    </row>
    <row r="8" spans="1:6" ht="15.6">
      <c r="A8" s="254" t="s">
        <v>133</v>
      </c>
      <c r="B8" s="255">
        <v>272035</v>
      </c>
      <c r="C8" s="255">
        <v>-149</v>
      </c>
      <c r="D8" s="255">
        <v>900</v>
      </c>
      <c r="E8" s="255">
        <v>273084</v>
      </c>
      <c r="F8" s="255">
        <v>275184</v>
      </c>
    </row>
    <row r="9" spans="1:6" ht="15.6">
      <c r="A9" s="254" t="s">
        <v>120</v>
      </c>
      <c r="B9" s="255">
        <v>4202593</v>
      </c>
      <c r="C9" s="255">
        <v>-291301</v>
      </c>
      <c r="D9" s="255">
        <v>28510</v>
      </c>
      <c r="E9" s="255">
        <v>4522404</v>
      </c>
      <c r="F9" s="255">
        <v>4559987</v>
      </c>
    </row>
    <row r="10" spans="1:6" ht="15.6">
      <c r="A10" s="254" t="s">
        <v>59</v>
      </c>
      <c r="B10" s="255">
        <v>4671419</v>
      </c>
      <c r="C10" s="255">
        <v>-52623</v>
      </c>
      <c r="D10" s="255"/>
      <c r="E10" s="255">
        <v>4724042</v>
      </c>
      <c r="F10" s="255"/>
    </row>
    <row r="11" spans="1:6" ht="15.6">
      <c r="A11" s="254" t="s">
        <v>488</v>
      </c>
      <c r="B11" s="255">
        <v>16483584</v>
      </c>
      <c r="C11" s="255">
        <v>-438416</v>
      </c>
      <c r="D11" s="255">
        <v>143150</v>
      </c>
      <c r="E11" s="255">
        <v>17065150</v>
      </c>
      <c r="F11" s="255">
        <v>12472784</v>
      </c>
    </row>
    <row r="12" spans="1:6" s="207" customFormat="1"/>
    <row r="13" spans="1:6" s="207" customFormat="1"/>
    <row r="14" spans="1:6" s="207" customFormat="1" ht="15.6">
      <c r="A14" s="254"/>
      <c r="B14" s="255"/>
      <c r="C14" s="255"/>
      <c r="D14" s="255"/>
      <c r="E14" s="255"/>
      <c r="F14" s="255"/>
    </row>
    <row r="15" spans="1:6" s="207" customFormat="1" ht="15.6">
      <c r="A15" s="254"/>
      <c r="B15" s="255"/>
      <c r="C15" s="255"/>
      <c r="D15" s="255"/>
      <c r="E15" s="255"/>
      <c r="F15" s="255"/>
    </row>
    <row r="16" spans="1:6" s="207" customFormat="1" ht="15.6">
      <c r="A16" s="254"/>
      <c r="B16" s="255"/>
      <c r="C16" s="255"/>
      <c r="D16" s="255"/>
      <c r="E16" s="255"/>
      <c r="F16" s="255"/>
    </row>
    <row r="17" spans="1:6" s="207" customFormat="1" ht="15.6">
      <c r="A17" s="254"/>
      <c r="B17" s="255"/>
      <c r="C17" s="255"/>
      <c r="D17" s="255"/>
      <c r="E17" s="255"/>
      <c r="F17" s="255"/>
    </row>
    <row r="18" spans="1:6" s="207" customFormat="1" ht="15.6">
      <c r="A18" s="254"/>
      <c r="B18" s="255"/>
      <c r="C18" s="255"/>
      <c r="D18" s="255"/>
      <c r="E18" s="255"/>
      <c r="F18" s="255"/>
    </row>
    <row r="19" spans="1:6" s="207" customFormat="1" ht="15.6">
      <c r="A19" s="254"/>
      <c r="B19" s="255"/>
      <c r="C19" s="255"/>
      <c r="D19" s="255"/>
      <c r="E19" s="255"/>
      <c r="F19" s="255"/>
    </row>
    <row r="20" spans="1:6" s="207" customFormat="1" ht="15.6">
      <c r="A20" s="254"/>
      <c r="B20" s="255"/>
      <c r="C20" s="255"/>
      <c r="D20" s="255"/>
      <c r="E20" s="255"/>
      <c r="F20" s="255"/>
    </row>
    <row r="21" spans="1:6" s="207" customFormat="1" ht="15.6">
      <c r="A21" s="254"/>
      <c r="B21" s="255"/>
      <c r="C21" s="255"/>
      <c r="D21" s="255"/>
      <c r="E21" s="255"/>
      <c r="F21" s="255"/>
    </row>
    <row r="22" spans="1:6" s="207" customFormat="1" ht="15.6">
      <c r="A22" s="254"/>
      <c r="B22" s="255"/>
      <c r="C22" s="255"/>
      <c r="D22" s="255"/>
      <c r="E22" s="255"/>
      <c r="F22" s="255"/>
    </row>
    <row r="23" spans="1:6" s="207" customFormat="1" ht="15.6">
      <c r="A23" s="254"/>
      <c r="B23" s="255"/>
      <c r="C23" s="255"/>
      <c r="D23" s="255"/>
      <c r="E23" s="255"/>
      <c r="F23" s="255"/>
    </row>
    <row r="24" spans="1:6" s="207" customFormat="1" ht="15.6">
      <c r="A24" s="254"/>
      <c r="B24" s="255"/>
      <c r="C24" s="255"/>
      <c r="D24" s="255"/>
      <c r="E24" s="255"/>
      <c r="F24" s="255"/>
    </row>
    <row r="25" spans="1:6" s="207" customFormat="1" ht="15.6">
      <c r="A25" s="254"/>
      <c r="B25" s="255"/>
      <c r="C25" s="255"/>
      <c r="D25" s="255"/>
      <c r="E25" s="255"/>
      <c r="F25" s="255"/>
    </row>
    <row r="26" spans="1:6" s="207" customFormat="1" ht="15.6">
      <c r="A26" s="254"/>
      <c r="B26" s="255"/>
      <c r="C26" s="255"/>
      <c r="D26" s="255"/>
      <c r="E26" s="255"/>
      <c r="F26" s="255"/>
    </row>
    <row r="27" spans="1:6" s="207" customFormat="1" ht="15.6">
      <c r="A27" s="254"/>
      <c r="B27" s="255"/>
      <c r="C27" s="255"/>
      <c r="D27" s="255"/>
      <c r="E27" s="255"/>
      <c r="F27" s="255"/>
    </row>
    <row r="28" spans="1:6" s="207" customFormat="1" ht="15.6">
      <c r="A28" s="254"/>
      <c r="B28" s="255"/>
      <c r="C28" s="255"/>
      <c r="D28" s="255"/>
      <c r="E28" s="255"/>
      <c r="F28" s="255"/>
    </row>
    <row r="29" spans="1:6" s="207" customFormat="1" ht="15.6">
      <c r="A29" s="254"/>
      <c r="B29" s="255"/>
      <c r="C29" s="255"/>
      <c r="D29" s="255"/>
      <c r="E29" s="255"/>
      <c r="F29" s="255"/>
    </row>
    <row r="30" spans="1:6" s="207" customFormat="1" ht="15.6">
      <c r="A30" s="254"/>
      <c r="B30" s="255"/>
      <c r="C30" s="255"/>
      <c r="D30" s="255"/>
      <c r="E30" s="255"/>
      <c r="F30" s="255"/>
    </row>
    <row r="32" spans="1:6" ht="21">
      <c r="A32" s="218"/>
      <c r="B32" s="218"/>
      <c r="C32" s="218"/>
      <c r="D32" s="218"/>
      <c r="E32" s="276" t="s">
        <v>489</v>
      </c>
      <c r="F32" s="276"/>
    </row>
    <row r="33" spans="1:6" ht="15.6">
      <c r="A33" s="218"/>
      <c r="B33" s="218"/>
      <c r="C33" s="218"/>
      <c r="D33" s="218"/>
      <c r="E33" s="218"/>
      <c r="F33" s="218"/>
    </row>
    <row r="34" spans="1:6" ht="15.6">
      <c r="A34" s="253" t="s">
        <v>111</v>
      </c>
      <c r="B34" s="218" t="s">
        <v>481</v>
      </c>
      <c r="C34" s="218"/>
      <c r="D34" s="218"/>
      <c r="E34" s="218"/>
      <c r="F34" s="218"/>
    </row>
    <row r="35" spans="1:6" ht="15.6">
      <c r="A35" s="218"/>
      <c r="B35" s="218"/>
      <c r="C35" s="218"/>
      <c r="D35" s="218"/>
      <c r="E35" s="218"/>
      <c r="F35" s="218"/>
    </row>
    <row r="36" spans="1:6" ht="15.6">
      <c r="A36" s="253" t="s">
        <v>482</v>
      </c>
      <c r="B36" s="218" t="s">
        <v>483</v>
      </c>
      <c r="C36" s="218" t="s">
        <v>487</v>
      </c>
      <c r="D36" s="218" t="s">
        <v>490</v>
      </c>
      <c r="E36" s="218" t="s">
        <v>486</v>
      </c>
      <c r="F36" s="218" t="s">
        <v>491</v>
      </c>
    </row>
    <row r="37" spans="1:6" ht="15.6">
      <c r="A37" s="254" t="s">
        <v>59</v>
      </c>
      <c r="B37" s="255">
        <v>5613382</v>
      </c>
      <c r="C37" s="255"/>
      <c r="D37" s="255">
        <v>-58701</v>
      </c>
      <c r="E37" s="255">
        <v>5672083</v>
      </c>
      <c r="F37" s="255"/>
    </row>
    <row r="38" spans="1:6" ht="15.6">
      <c r="A38" s="254" t="s">
        <v>13</v>
      </c>
      <c r="B38" s="255">
        <v>3598546</v>
      </c>
      <c r="C38" s="255">
        <v>3787706</v>
      </c>
      <c r="D38" s="255">
        <v>-9970</v>
      </c>
      <c r="E38" s="255">
        <v>3632116</v>
      </c>
      <c r="F38" s="255">
        <v>23600</v>
      </c>
    </row>
    <row r="39" spans="1:6" ht="15.6">
      <c r="A39" s="254" t="s">
        <v>11</v>
      </c>
      <c r="B39" s="255">
        <v>3792437</v>
      </c>
      <c r="C39" s="255">
        <v>3522133</v>
      </c>
      <c r="D39" s="255">
        <v>-120960</v>
      </c>
      <c r="E39" s="255">
        <v>3924297</v>
      </c>
      <c r="F39" s="255">
        <v>10900</v>
      </c>
    </row>
    <row r="40" spans="1:6" ht="15.6">
      <c r="A40" s="254" t="s">
        <v>30</v>
      </c>
      <c r="B40" s="255">
        <v>4389366</v>
      </c>
      <c r="C40" s="255">
        <v>4534561</v>
      </c>
      <c r="D40" s="255">
        <v>-91278</v>
      </c>
      <c r="E40" s="255">
        <v>4489804</v>
      </c>
      <c r="F40" s="255">
        <v>9160</v>
      </c>
    </row>
    <row r="41" spans="1:6" ht="15.6">
      <c r="A41" s="254" t="s">
        <v>488</v>
      </c>
      <c r="B41" s="255">
        <v>17393731</v>
      </c>
      <c r="C41" s="255">
        <v>11844400</v>
      </c>
      <c r="D41" s="255">
        <v>-280909</v>
      </c>
      <c r="E41" s="255">
        <v>17718300</v>
      </c>
      <c r="F41" s="255">
        <v>43660</v>
      </c>
    </row>
    <row r="68" spans="1:6" ht="21">
      <c r="E68" s="276" t="s">
        <v>492</v>
      </c>
      <c r="F68" s="276"/>
    </row>
    <row r="70" spans="1:6" ht="15.6">
      <c r="A70" s="253" t="s">
        <v>111</v>
      </c>
      <c r="B70" s="218" t="s">
        <v>481</v>
      </c>
      <c r="C70" s="218"/>
      <c r="D70" s="218"/>
      <c r="E70" s="218"/>
    </row>
    <row r="71" spans="1:6" ht="15.6">
      <c r="A71" s="218"/>
      <c r="B71" s="218"/>
      <c r="C71" s="218"/>
      <c r="D71" s="218"/>
      <c r="E71" s="218"/>
    </row>
    <row r="72" spans="1:6" ht="15.6">
      <c r="A72" s="253" t="s">
        <v>482</v>
      </c>
      <c r="B72" s="218" t="s">
        <v>494</v>
      </c>
      <c r="C72" s="218" t="s">
        <v>487</v>
      </c>
      <c r="D72" s="218" t="s">
        <v>493</v>
      </c>
      <c r="E72" s="218" t="s">
        <v>485</v>
      </c>
    </row>
    <row r="73" spans="1:6" ht="15.6">
      <c r="A73" s="254" t="s">
        <v>333</v>
      </c>
      <c r="B73" s="255">
        <v>-83690</v>
      </c>
      <c r="C73" s="255"/>
      <c r="D73" s="255"/>
      <c r="E73" s="255"/>
    </row>
    <row r="74" spans="1:6" ht="15.6">
      <c r="A74" s="254" t="s">
        <v>325</v>
      </c>
      <c r="B74" s="255">
        <v>3552230</v>
      </c>
      <c r="C74" s="255">
        <v>3687680</v>
      </c>
      <c r="D74" s="255">
        <v>3552567</v>
      </c>
      <c r="E74" s="255">
        <v>4700</v>
      </c>
    </row>
    <row r="75" spans="1:6" ht="15.6">
      <c r="A75" s="254" t="s">
        <v>334</v>
      </c>
      <c r="B75" s="255">
        <v>-380306</v>
      </c>
      <c r="C75" s="255"/>
      <c r="D75" s="255"/>
      <c r="E75" s="255"/>
    </row>
    <row r="76" spans="1:6" ht="15.6">
      <c r="A76" s="254" t="s">
        <v>59</v>
      </c>
      <c r="B76" s="255">
        <v>6078121</v>
      </c>
      <c r="C76" s="255">
        <v>0</v>
      </c>
      <c r="D76" s="255">
        <v>5536424</v>
      </c>
      <c r="E76" s="255">
        <v>8000</v>
      </c>
    </row>
    <row r="77" spans="1:6" ht="15.6">
      <c r="A77" s="254" t="s">
        <v>329</v>
      </c>
      <c r="B77" s="255">
        <v>3775890</v>
      </c>
      <c r="C77" s="255">
        <v>3795554</v>
      </c>
      <c r="D77" s="255">
        <v>3803572</v>
      </c>
      <c r="E77" s="255">
        <v>26500</v>
      </c>
    </row>
    <row r="78" spans="1:6" ht="15.6">
      <c r="A78" s="254" t="s">
        <v>327</v>
      </c>
      <c r="B78" s="255">
        <v>4998018</v>
      </c>
      <c r="C78" s="255">
        <v>5239920</v>
      </c>
      <c r="D78" s="255">
        <v>4993391</v>
      </c>
      <c r="E78" s="255">
        <v>38800</v>
      </c>
    </row>
    <row r="79" spans="1:6" ht="15.6">
      <c r="A79" s="254" t="s">
        <v>331</v>
      </c>
      <c r="B79" s="255">
        <v>466774</v>
      </c>
      <c r="C79" s="255"/>
      <c r="D79" s="255"/>
      <c r="E79" s="255"/>
    </row>
    <row r="80" spans="1:6" ht="15.6">
      <c r="A80" s="254" t="s">
        <v>488</v>
      </c>
      <c r="B80" s="255">
        <v>18407037</v>
      </c>
      <c r="C80" s="255">
        <v>12723154</v>
      </c>
      <c r="D80" s="255">
        <v>17885954</v>
      </c>
      <c r="E80" s="255">
        <v>78000</v>
      </c>
    </row>
  </sheetData>
  <mergeCells count="3">
    <mergeCell ref="E32:F32"/>
    <mergeCell ref="E1:F1"/>
    <mergeCell ref="E68:F68"/>
  </mergeCells>
  <pageMargins left="0.7" right="0.7" top="0.75" bottom="0.75" header="0.3" footer="0.3"/>
  <pageSetup paperSize="9" orientation="portrait" horizontalDpi="4294967293" verticalDpi="0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F40"/>
  <sheetViews>
    <sheetView workbookViewId="0">
      <selection activeCell="B6" sqref="B6"/>
    </sheetView>
  </sheetViews>
  <sheetFormatPr baseColWidth="10" defaultColWidth="11.3984375" defaultRowHeight="13.8"/>
  <cols>
    <col min="1" max="1" width="14.09765625" bestFit="1" customWidth="1"/>
    <col min="2" max="2" width="19.3984375" bestFit="1" customWidth="1"/>
    <col min="3" max="3" width="10.69921875" customWidth="1"/>
    <col min="4" max="4" width="8.09765625" customWidth="1"/>
    <col min="5" max="5" width="18.69921875" customWidth="1"/>
    <col min="6" max="6" width="18.09765625" customWidth="1"/>
  </cols>
  <sheetData>
    <row r="1" spans="1:6" ht="18">
      <c r="A1" s="277"/>
      <c r="B1" s="277"/>
      <c r="C1" s="277"/>
      <c r="D1" s="277"/>
      <c r="E1" s="173"/>
      <c r="F1" s="173"/>
    </row>
    <row r="2" spans="1:6" ht="14.4">
      <c r="A2" s="173"/>
      <c r="B2" s="173"/>
      <c r="C2" s="173"/>
      <c r="D2" s="173"/>
      <c r="E2" s="174"/>
      <c r="F2" s="173"/>
    </row>
    <row r="3" spans="1:6" ht="14.4">
      <c r="A3" s="173"/>
      <c r="B3" s="173"/>
      <c r="C3" s="173"/>
      <c r="D3" s="173"/>
      <c r="E3" s="173"/>
      <c r="F3" s="173"/>
    </row>
    <row r="4" spans="1:6" ht="14.4">
      <c r="A4" s="173"/>
      <c r="B4" s="173"/>
      <c r="C4" s="173"/>
      <c r="D4" s="173"/>
      <c r="E4" s="173"/>
      <c r="F4" s="173"/>
    </row>
    <row r="5" spans="1:6" ht="21.6" customHeight="1">
      <c r="A5" s="179" t="s">
        <v>2</v>
      </c>
      <c r="B5" s="179" t="s">
        <v>4</v>
      </c>
      <c r="C5" s="175"/>
      <c r="D5" s="175"/>
      <c r="E5" s="175"/>
      <c r="F5" s="175"/>
    </row>
    <row r="6" spans="1:6" ht="21.6" customHeight="1">
      <c r="A6" s="177">
        <v>45941</v>
      </c>
      <c r="B6" s="178">
        <v>100000</v>
      </c>
      <c r="C6" s="175"/>
      <c r="D6" s="175"/>
      <c r="E6" s="175"/>
      <c r="F6" s="175"/>
    </row>
    <row r="7" spans="1:6" ht="21.6" customHeight="1">
      <c r="A7" s="177"/>
      <c r="B7" s="178"/>
      <c r="C7" s="175"/>
      <c r="D7" s="175"/>
      <c r="E7" s="175"/>
      <c r="F7" s="175"/>
    </row>
    <row r="8" spans="1:6" ht="21.6" customHeight="1">
      <c r="A8" s="232" t="s">
        <v>9</v>
      </c>
      <c r="B8" s="233">
        <f>SUBTOTAL(109,Tableau4[Versement])</f>
        <v>100000</v>
      </c>
      <c r="C8" s="175"/>
      <c r="D8" s="175"/>
      <c r="E8" s="175"/>
      <c r="F8" s="175"/>
    </row>
    <row r="9" spans="1:6" ht="21.6" customHeight="1">
      <c r="A9" s="175"/>
      <c r="B9" s="175"/>
      <c r="C9" s="175"/>
      <c r="D9" s="175"/>
      <c r="E9" s="175"/>
      <c r="F9" s="175"/>
    </row>
    <row r="10" spans="1:6" ht="21.6" customHeight="1">
      <c r="A10" s="175"/>
      <c r="B10" s="175"/>
      <c r="C10" s="175"/>
      <c r="D10" s="175"/>
      <c r="E10" s="175"/>
      <c r="F10" s="175"/>
    </row>
    <row r="11" spans="1:6" ht="21.6" customHeight="1">
      <c r="A11" s="175"/>
      <c r="B11" s="175"/>
      <c r="C11" s="175"/>
      <c r="D11" s="175"/>
      <c r="E11" s="175"/>
      <c r="F11" s="175"/>
    </row>
    <row r="12" spans="1:6" ht="21.6" customHeight="1">
      <c r="A12" s="175"/>
      <c r="B12" s="175"/>
      <c r="C12" s="175"/>
      <c r="D12" s="175"/>
      <c r="E12" s="175"/>
      <c r="F12" s="175"/>
    </row>
    <row r="13" spans="1:6" ht="21.6" customHeight="1">
      <c r="A13" s="175"/>
      <c r="B13" s="175"/>
      <c r="C13" s="175"/>
      <c r="D13" s="175"/>
      <c r="E13" s="175"/>
      <c r="F13" s="175"/>
    </row>
    <row r="14" spans="1:6" ht="21.6" customHeight="1">
      <c r="A14" s="175"/>
      <c r="B14" s="175"/>
      <c r="C14" s="175"/>
      <c r="D14" s="175"/>
      <c r="E14" s="175"/>
      <c r="F14" s="175"/>
    </row>
    <row r="15" spans="1:6" ht="21.6" customHeight="1">
      <c r="A15" s="175"/>
      <c r="B15" s="175"/>
      <c r="C15" s="175"/>
      <c r="D15" s="175"/>
      <c r="E15" s="175"/>
      <c r="F15" s="175"/>
    </row>
    <row r="16" spans="1:6" ht="21.6" customHeight="1">
      <c r="A16" s="175"/>
      <c r="B16" s="175"/>
      <c r="C16" s="175"/>
      <c r="D16" s="175"/>
      <c r="E16" s="175"/>
      <c r="F16" s="175"/>
    </row>
    <row r="17" spans="1:6" ht="21.6" customHeight="1">
      <c r="A17" s="175"/>
      <c r="B17" s="175"/>
      <c r="C17" s="175"/>
      <c r="D17" s="175"/>
      <c r="E17" s="175"/>
      <c r="F17" s="175"/>
    </row>
    <row r="18" spans="1:6" ht="18">
      <c r="A18" s="175"/>
      <c r="B18" s="175"/>
      <c r="C18" s="173"/>
      <c r="D18" s="173"/>
      <c r="E18" s="173"/>
      <c r="F18" s="173"/>
    </row>
    <row r="19" spans="1:6" ht="18">
      <c r="A19" s="175"/>
      <c r="B19" s="175"/>
      <c r="C19" s="173"/>
      <c r="D19" s="173"/>
      <c r="E19" s="173"/>
      <c r="F19" s="173"/>
    </row>
    <row r="20" spans="1:6" ht="14.4">
      <c r="A20" s="173"/>
      <c r="B20" s="173"/>
      <c r="C20" s="173"/>
      <c r="D20" s="173"/>
      <c r="E20" s="173"/>
      <c r="F20" s="173"/>
    </row>
    <row r="21" spans="1:6" ht="14.4">
      <c r="A21" s="173"/>
      <c r="B21" s="173"/>
      <c r="C21" s="173"/>
      <c r="D21" s="173"/>
      <c r="E21" s="173"/>
      <c r="F21" s="173"/>
    </row>
    <row r="22" spans="1:6" ht="14.4">
      <c r="A22" s="173"/>
      <c r="B22" s="173"/>
      <c r="C22" s="173"/>
      <c r="D22" s="173"/>
      <c r="E22" s="173"/>
      <c r="F22" s="173"/>
    </row>
    <row r="23" spans="1:6" ht="14.4">
      <c r="A23" s="173"/>
      <c r="B23" s="173"/>
      <c r="C23" s="173"/>
      <c r="D23" s="173"/>
      <c r="E23" s="173"/>
      <c r="F23" s="173"/>
    </row>
    <row r="24" spans="1:6" ht="14.4">
      <c r="A24" s="173"/>
      <c r="B24" s="173"/>
      <c r="C24" s="173"/>
      <c r="D24" s="173"/>
      <c r="E24" s="173"/>
      <c r="F24" s="173"/>
    </row>
    <row r="25" spans="1:6" s="102" customFormat="1" ht="20.399999999999999" customHeight="1">
      <c r="A25" s="173"/>
      <c r="B25" s="173"/>
      <c r="C25" s="272"/>
      <c r="D25" s="272"/>
      <c r="E25" s="272"/>
      <c r="F25" s="272"/>
    </row>
    <row r="26" spans="1:6" s="102" customFormat="1" ht="20.399999999999999" customHeight="1">
      <c r="A26" s="173"/>
      <c r="B26" s="173"/>
      <c r="C26" s="272"/>
      <c r="D26" s="272"/>
      <c r="E26" s="272"/>
      <c r="F26" s="272"/>
    </row>
    <row r="27" spans="1:6" s="102" customFormat="1" ht="20.399999999999999" customHeight="1">
      <c r="A27" s="272"/>
      <c r="B27" s="272"/>
      <c r="C27" s="272"/>
      <c r="D27" s="272"/>
      <c r="E27" s="272"/>
      <c r="F27" s="272"/>
    </row>
    <row r="28" spans="1:6" s="102" customFormat="1" ht="20.399999999999999" customHeight="1">
      <c r="A28" s="272"/>
      <c r="B28" s="272"/>
      <c r="C28" s="272"/>
      <c r="D28" s="272"/>
      <c r="E28" s="272"/>
      <c r="F28" s="272"/>
    </row>
    <row r="29" spans="1:6" s="102" customFormat="1" ht="20.399999999999999" customHeight="1">
      <c r="A29" s="272"/>
      <c r="B29" s="272"/>
      <c r="C29" s="272"/>
      <c r="D29" s="272"/>
      <c r="E29" s="272"/>
      <c r="F29" s="272"/>
    </row>
    <row r="30" spans="1:6" s="102" customFormat="1" ht="20.399999999999999" customHeight="1">
      <c r="A30" s="272"/>
      <c r="B30" s="272"/>
      <c r="C30" s="272"/>
      <c r="D30" s="272"/>
      <c r="E30" s="272"/>
      <c r="F30" s="272"/>
    </row>
    <row r="31" spans="1:6" s="102" customFormat="1" ht="20.399999999999999" customHeight="1">
      <c r="A31" s="272"/>
      <c r="B31" s="272"/>
      <c r="C31" s="272"/>
      <c r="D31" s="272"/>
      <c r="E31" s="272"/>
      <c r="F31" s="272"/>
    </row>
    <row r="32" spans="1:6" s="102" customFormat="1" ht="20.399999999999999" customHeight="1">
      <c r="A32" s="272"/>
      <c r="B32" s="272"/>
      <c r="C32" s="272"/>
      <c r="D32" s="272"/>
      <c r="E32" s="272"/>
      <c r="F32" s="272"/>
    </row>
    <row r="33" spans="1:6" s="102" customFormat="1" ht="20.399999999999999" customHeight="1">
      <c r="A33" s="272"/>
      <c r="B33" s="272"/>
      <c r="C33" s="272"/>
      <c r="D33" s="272"/>
      <c r="E33" s="272"/>
      <c r="F33" s="272"/>
    </row>
    <row r="34" spans="1:6" s="102" customFormat="1" ht="20.399999999999999" customHeight="1">
      <c r="A34" s="272"/>
      <c r="B34" s="272"/>
      <c r="C34" s="176"/>
      <c r="D34" s="272"/>
      <c r="E34" s="272"/>
      <c r="F34" s="272"/>
    </row>
    <row r="35" spans="1:6" s="102" customFormat="1" ht="20.399999999999999" customHeight="1">
      <c r="A35" s="272"/>
      <c r="B35" s="272"/>
      <c r="C35" s="272"/>
      <c r="D35" s="272"/>
      <c r="E35" s="272"/>
      <c r="F35" s="272"/>
    </row>
    <row r="36" spans="1:6" s="102" customFormat="1" ht="20.399999999999999" customHeight="1">
      <c r="A36" s="272"/>
      <c r="B36" s="176"/>
      <c r="C36" s="272"/>
      <c r="D36" s="272"/>
      <c r="E36" s="272"/>
      <c r="F36" s="272"/>
    </row>
    <row r="37" spans="1:6" ht="18">
      <c r="A37" s="272"/>
      <c r="B37" s="272"/>
      <c r="C37" s="103"/>
      <c r="D37" s="103"/>
      <c r="E37" s="103"/>
      <c r="F37" s="103"/>
    </row>
    <row r="38" spans="1:6" ht="24.6" customHeight="1">
      <c r="A38" s="272"/>
      <c r="B38" s="272"/>
      <c r="C38" s="103"/>
      <c r="D38" s="103"/>
      <c r="E38" s="278"/>
      <c r="F38" s="278"/>
    </row>
    <row r="39" spans="1:6">
      <c r="A39" s="103"/>
      <c r="B39" s="103"/>
      <c r="C39" s="207"/>
      <c r="D39" s="207"/>
      <c r="E39" s="207"/>
      <c r="F39" s="207"/>
    </row>
    <row r="40" spans="1:6">
      <c r="A40" s="103"/>
      <c r="B40" s="103"/>
      <c r="C40" s="207"/>
      <c r="D40" s="207"/>
      <c r="E40" s="207"/>
      <c r="F40" s="207"/>
    </row>
  </sheetData>
  <mergeCells count="2">
    <mergeCell ref="A1:D1"/>
    <mergeCell ref="E38:F38"/>
  </mergeCells>
  <pageMargins left="0.25" right="0.25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Août 2025</vt:lpstr>
      <vt:lpstr>SEPTEMBRE 2025</vt:lpstr>
      <vt:lpstr>OCTOBRE</vt:lpstr>
      <vt:lpstr>NOVEMBRE</vt:lpstr>
      <vt:lpstr>DECEMBRE</vt:lpstr>
      <vt:lpstr>ETAT_MENSUEL</vt:lpstr>
      <vt:lpstr>Abdou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2025-07-30T08:28:44Z</dcterms:created>
  <dcterms:modified xsi:type="dcterms:W3CDTF">2026-01-06T10:04:56Z</dcterms:modified>
  <cp:category/>
  <cp:contentStatus/>
</cp:coreProperties>
</file>